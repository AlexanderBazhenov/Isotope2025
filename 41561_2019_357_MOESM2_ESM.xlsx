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e S3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<sst xmlns="http://schemas.openxmlformats.org/spreadsheetml/2006/main" count="538" uniqueCount="538">
  <si>
    <t xml:space="preserve">Sample </t>
  </si>
  <si>
    <t>Thickness</t>
  </si>
  <si>
    <t>Age</t>
  </si>
  <si>
    <t xml:space="preserve">Sedimentation rate</t>
  </si>
  <si>
    <t xml:space="preserve">Siberian Stage</t>
  </si>
  <si>
    <t>Formation</t>
  </si>
  <si>
    <t xml:space="preserve">Archaeocyath biozones</t>
  </si>
  <si>
    <t xml:space="preserve">Trilobite and SSFs biozones</t>
  </si>
  <si>
    <t xml:space="preserve">Archaeocyath species number</t>
  </si>
  <si>
    <t xml:space="preserve">Total animal species number</t>
  </si>
  <si>
    <t xml:space="preserve">Sequence stratigraphic unit</t>
  </si>
  <si>
    <r>
      <t>δ</t>
    </r>
    <r>
      <rPr>
        <b/>
        <vertAlign val="superscript"/>
        <sz val="12"/>
        <color theme="1"/>
        <rFont val="Calibri"/>
        <scheme val="minor"/>
      </rPr>
      <t>13</t>
    </r>
    <r>
      <rPr>
        <b/>
        <sz val="12"/>
        <color theme="1"/>
        <rFont val="Calibri"/>
        <scheme val="minor"/>
      </rPr>
      <t xml:space="preserve">C </t>
    </r>
  </si>
  <si>
    <r>
      <t>δ</t>
    </r>
    <r>
      <rPr>
        <b/>
        <vertAlign val="superscript"/>
        <sz val="12"/>
        <color theme="1"/>
        <rFont val="Calibri"/>
        <scheme val="minor"/>
      </rPr>
      <t>18</t>
    </r>
    <r>
      <rPr>
        <b/>
        <sz val="12"/>
        <color theme="1"/>
        <rFont val="Calibri"/>
        <scheme val="minor"/>
      </rPr>
      <t xml:space="preserve">O </t>
    </r>
  </si>
  <si>
    <r>
      <t>δ</t>
    </r>
    <r>
      <rPr>
        <b/>
        <vertAlign val="superscript"/>
        <sz val="12"/>
        <color theme="1"/>
        <rFont val="Calibri"/>
        <scheme val="minor"/>
      </rPr>
      <t>34</t>
    </r>
    <r>
      <rPr>
        <b/>
        <sz val="12"/>
        <color theme="1"/>
        <rFont val="Calibri"/>
        <scheme val="minor"/>
      </rPr>
      <t>S</t>
    </r>
  </si>
  <si>
    <t>[CAS]</t>
  </si>
  <si>
    <t xml:space="preserve">Carbonate content</t>
  </si>
  <si>
    <t>Mg/Ca</t>
  </si>
  <si>
    <t>Mn/Sr</t>
  </si>
  <si>
    <t>m</t>
  </si>
  <si>
    <t>Ma</t>
  </si>
  <si>
    <t>Myr/m</t>
  </si>
  <si>
    <t xml:space="preserve">PDB, ‰</t>
  </si>
  <si>
    <t xml:space="preserve">VCDT, ‰</t>
  </si>
  <si>
    <t>ppm</t>
  </si>
  <si>
    <t>%</t>
  </si>
  <si>
    <t>w/w</t>
  </si>
  <si>
    <t>(w/w)</t>
  </si>
  <si>
    <t>Toyonian</t>
  </si>
  <si>
    <t xml:space="preserve">Lermontovia grandis</t>
  </si>
  <si>
    <t xml:space="preserve">Highstand System Tract</t>
  </si>
  <si>
    <t>TA40</t>
  </si>
  <si>
    <t>Keteme</t>
  </si>
  <si>
    <t xml:space="preserve">Bergeroniellus ketemensis</t>
  </si>
  <si>
    <t>TA39</t>
  </si>
  <si>
    <t>TA38</t>
  </si>
  <si>
    <t>TA37</t>
  </si>
  <si>
    <t>TA36</t>
  </si>
  <si>
    <t>TA35</t>
  </si>
  <si>
    <t>TA34</t>
  </si>
  <si>
    <t>TA33</t>
  </si>
  <si>
    <t>TA32</t>
  </si>
  <si>
    <t>TA31</t>
  </si>
  <si>
    <t>TA30</t>
  </si>
  <si>
    <t>TA29</t>
  </si>
  <si>
    <t>TA28</t>
  </si>
  <si>
    <t>TA27</t>
  </si>
  <si>
    <t>TA26</t>
  </si>
  <si>
    <t>TA25</t>
  </si>
  <si>
    <t>TA24</t>
  </si>
  <si>
    <t>TA22</t>
  </si>
  <si>
    <t>TA21</t>
  </si>
  <si>
    <t>TA20</t>
  </si>
  <si>
    <t>TA19</t>
  </si>
  <si>
    <t>TA18</t>
  </si>
  <si>
    <t>TA17</t>
  </si>
  <si>
    <t>TA16</t>
  </si>
  <si>
    <t>TA15</t>
  </si>
  <si>
    <t>TA14</t>
  </si>
  <si>
    <t>TA13</t>
  </si>
  <si>
    <t>Botoman</t>
  </si>
  <si>
    <t>Kutorgina</t>
  </si>
  <si>
    <t xml:space="preserve">Bergeroniaspis ornata</t>
  </si>
  <si>
    <t>TA12</t>
  </si>
  <si>
    <t>TA11</t>
  </si>
  <si>
    <t>TA10</t>
  </si>
  <si>
    <t>TA09</t>
  </si>
  <si>
    <t>TA08</t>
  </si>
  <si>
    <t>TA07</t>
  </si>
  <si>
    <t>TA06</t>
  </si>
  <si>
    <t>TA05</t>
  </si>
  <si>
    <t>TA04</t>
  </si>
  <si>
    <t>TA03</t>
  </si>
  <si>
    <t>TA02</t>
  </si>
  <si>
    <t>TA01</t>
  </si>
  <si>
    <t>LAB92</t>
  </si>
  <si>
    <t>LAB91</t>
  </si>
  <si>
    <t>LAB90</t>
  </si>
  <si>
    <t>LAB89</t>
  </si>
  <si>
    <t>LAB88</t>
  </si>
  <si>
    <t>LAB87</t>
  </si>
  <si>
    <t>LAB86</t>
  </si>
  <si>
    <t>LAB85</t>
  </si>
  <si>
    <t>LAB84</t>
  </si>
  <si>
    <t>LAB83</t>
  </si>
  <si>
    <t>LAB82</t>
  </si>
  <si>
    <t>LAB81</t>
  </si>
  <si>
    <t>LAB80</t>
  </si>
  <si>
    <t>LAB79</t>
  </si>
  <si>
    <t>LAB78</t>
  </si>
  <si>
    <t>LAB77</t>
  </si>
  <si>
    <t>LAB76</t>
  </si>
  <si>
    <t>LAB75</t>
  </si>
  <si>
    <t>LAB74</t>
  </si>
  <si>
    <t>LAB73</t>
  </si>
  <si>
    <t>LAB72</t>
  </si>
  <si>
    <t>LAB71</t>
  </si>
  <si>
    <t>LAB64</t>
  </si>
  <si>
    <t>LAB70</t>
  </si>
  <si>
    <t>LAB69</t>
  </si>
  <si>
    <t>LAB68</t>
  </si>
  <si>
    <t>LAB67</t>
  </si>
  <si>
    <t>LAB66</t>
  </si>
  <si>
    <t>LAB65</t>
  </si>
  <si>
    <t>LAB63</t>
  </si>
  <si>
    <t>LAB62</t>
  </si>
  <si>
    <t>LAB61</t>
  </si>
  <si>
    <t>LAB60</t>
  </si>
  <si>
    <t>LAB59</t>
  </si>
  <si>
    <t>LAB58</t>
  </si>
  <si>
    <t>LAB57</t>
  </si>
  <si>
    <t>LAB56</t>
  </si>
  <si>
    <t>LAB55</t>
  </si>
  <si>
    <t xml:space="preserve">Bergeroniellus asiaticus</t>
  </si>
  <si>
    <t>LAB54</t>
  </si>
  <si>
    <t>LAB53</t>
  </si>
  <si>
    <t>LAB51</t>
  </si>
  <si>
    <t>LAB50</t>
  </si>
  <si>
    <t>LAB48</t>
  </si>
  <si>
    <t>LAB47</t>
  </si>
  <si>
    <t>LAB46</t>
  </si>
  <si>
    <t>LAB45</t>
  </si>
  <si>
    <t>LAB44</t>
  </si>
  <si>
    <t>LAB43</t>
  </si>
  <si>
    <t>LAB42</t>
  </si>
  <si>
    <t>LAB41</t>
  </si>
  <si>
    <t>LAB40</t>
  </si>
  <si>
    <t>LAB39</t>
  </si>
  <si>
    <t>LAB38</t>
  </si>
  <si>
    <t>LAB37</t>
  </si>
  <si>
    <t>LAB36</t>
  </si>
  <si>
    <t>LAB35</t>
  </si>
  <si>
    <t>LAB34</t>
  </si>
  <si>
    <t>LAB33</t>
  </si>
  <si>
    <t>LAB32</t>
  </si>
  <si>
    <t>LAB30</t>
  </si>
  <si>
    <t>LAB29</t>
  </si>
  <si>
    <t>LAB28</t>
  </si>
  <si>
    <t>LAB27</t>
  </si>
  <si>
    <t>LAB26</t>
  </si>
  <si>
    <t>LAB25</t>
  </si>
  <si>
    <t>LAB24</t>
  </si>
  <si>
    <t>LAB23</t>
  </si>
  <si>
    <t>LAB22</t>
  </si>
  <si>
    <t>LAB21</t>
  </si>
  <si>
    <t>LAB20</t>
  </si>
  <si>
    <t>LAB19</t>
  </si>
  <si>
    <t>LAB18</t>
  </si>
  <si>
    <t>LAB17</t>
  </si>
  <si>
    <t>LAB16</t>
  </si>
  <si>
    <t>LAB15</t>
  </si>
  <si>
    <t>LAB13</t>
  </si>
  <si>
    <t>LAB12</t>
  </si>
  <si>
    <t>LAB11</t>
  </si>
  <si>
    <t>LAB10</t>
  </si>
  <si>
    <t>LAB09</t>
  </si>
  <si>
    <t>LAB08</t>
  </si>
  <si>
    <t>LAB07</t>
  </si>
  <si>
    <t>LAB06</t>
  </si>
  <si>
    <t>LAB05</t>
  </si>
  <si>
    <t>LAB04</t>
  </si>
  <si>
    <t>LAB03</t>
  </si>
  <si>
    <t>LAB02</t>
  </si>
  <si>
    <t>LAB01</t>
  </si>
  <si>
    <t xml:space="preserve">AT 20-141</t>
  </si>
  <si>
    <t xml:space="preserve">AT 20-140</t>
  </si>
  <si>
    <t xml:space="preserve">AT 20-139</t>
  </si>
  <si>
    <t xml:space="preserve">AT 20-138</t>
  </si>
  <si>
    <t xml:space="preserve">AT 20-137</t>
  </si>
  <si>
    <t xml:space="preserve">AT 20-136</t>
  </si>
  <si>
    <t xml:space="preserve">AT 20-135</t>
  </si>
  <si>
    <t xml:space="preserve">AT 20-134</t>
  </si>
  <si>
    <t xml:space="preserve">AT 20-133</t>
  </si>
  <si>
    <t xml:space="preserve">AT 20-132</t>
  </si>
  <si>
    <t xml:space="preserve">AT 19-131</t>
  </si>
  <si>
    <t xml:space="preserve">AT 19-130</t>
  </si>
  <si>
    <t xml:space="preserve">AT 19-129</t>
  </si>
  <si>
    <t xml:space="preserve">AT 19-128</t>
  </si>
  <si>
    <t xml:space="preserve">AT 18-127</t>
  </si>
  <si>
    <t xml:space="preserve">AT 18-126</t>
  </si>
  <si>
    <t xml:space="preserve">AT 18-125</t>
  </si>
  <si>
    <t xml:space="preserve">AT 18-124</t>
  </si>
  <si>
    <t xml:space="preserve">AT 18-123</t>
  </si>
  <si>
    <t xml:space="preserve">AT 18-122</t>
  </si>
  <si>
    <t xml:space="preserve">AT 17-121</t>
  </si>
  <si>
    <t xml:space="preserve">AT 17-120</t>
  </si>
  <si>
    <t xml:space="preserve">AT 17-119</t>
  </si>
  <si>
    <t xml:space="preserve">AT 17-118</t>
  </si>
  <si>
    <t xml:space="preserve">AT 17-117</t>
  </si>
  <si>
    <t xml:space="preserve">AT 17-116</t>
  </si>
  <si>
    <t xml:space="preserve">AT 17-115</t>
  </si>
  <si>
    <t xml:space="preserve">AT 16-114</t>
  </si>
  <si>
    <t xml:space="preserve">AT 16-113</t>
  </si>
  <si>
    <t xml:space="preserve">AT 16-112</t>
  </si>
  <si>
    <t xml:space="preserve">AT 16-111</t>
  </si>
  <si>
    <t xml:space="preserve">AT 16-109</t>
  </si>
  <si>
    <t xml:space="preserve">AT 16-108</t>
  </si>
  <si>
    <t xml:space="preserve">AT 16-107</t>
  </si>
  <si>
    <t xml:space="preserve">AT 16-106</t>
  </si>
  <si>
    <t xml:space="preserve">AT 16-105</t>
  </si>
  <si>
    <t xml:space="preserve">AT 16-103</t>
  </si>
  <si>
    <t xml:space="preserve">AT 16-102</t>
  </si>
  <si>
    <t xml:space="preserve">AT 16-100</t>
  </si>
  <si>
    <t xml:space="preserve">AT 16-99</t>
  </si>
  <si>
    <t xml:space="preserve">AT 16-98</t>
  </si>
  <si>
    <t xml:space="preserve">AT 15-95</t>
  </si>
  <si>
    <t>Sinsk</t>
  </si>
  <si>
    <t xml:space="preserve">Bergeroniellus gurarii</t>
  </si>
  <si>
    <t xml:space="preserve">Transgressive System Tract</t>
  </si>
  <si>
    <t xml:space="preserve">AT 15-94</t>
  </si>
  <si>
    <t xml:space="preserve">AT 15-93</t>
  </si>
  <si>
    <t xml:space="preserve">AT 15-92</t>
  </si>
  <si>
    <t xml:space="preserve">AT 15-91</t>
  </si>
  <si>
    <t xml:space="preserve">AT 15-90</t>
  </si>
  <si>
    <t xml:space="preserve">AT 14-89</t>
  </si>
  <si>
    <t xml:space="preserve">AT 14-88</t>
  </si>
  <si>
    <t xml:space="preserve">AT 13-86</t>
  </si>
  <si>
    <t xml:space="preserve">AT 13-85</t>
  </si>
  <si>
    <t xml:space="preserve">AT 13-84</t>
  </si>
  <si>
    <t xml:space="preserve">AT 13-82</t>
  </si>
  <si>
    <t xml:space="preserve">AT 13-81</t>
  </si>
  <si>
    <t xml:space="preserve">AT 13-80</t>
  </si>
  <si>
    <t xml:space="preserve">AT 13-79</t>
  </si>
  <si>
    <t xml:space="preserve">AT 13-78</t>
  </si>
  <si>
    <t xml:space="preserve">AT 13-77</t>
  </si>
  <si>
    <t xml:space="preserve">AT 13-76</t>
  </si>
  <si>
    <t>UT36</t>
  </si>
  <si>
    <t>UT35</t>
  </si>
  <si>
    <t>UT34</t>
  </si>
  <si>
    <t>UT33</t>
  </si>
  <si>
    <t>UT32</t>
  </si>
  <si>
    <t>UT31</t>
  </si>
  <si>
    <t>UT30</t>
  </si>
  <si>
    <t>UT29</t>
  </si>
  <si>
    <t>UT28</t>
  </si>
  <si>
    <t>UT27</t>
  </si>
  <si>
    <t>UT26</t>
  </si>
  <si>
    <t>UT25</t>
  </si>
  <si>
    <t>UT24</t>
  </si>
  <si>
    <t>UT23</t>
  </si>
  <si>
    <t>UT22</t>
  </si>
  <si>
    <t>UT21</t>
  </si>
  <si>
    <t>UT20</t>
  </si>
  <si>
    <t>UT19</t>
  </si>
  <si>
    <t>UT18</t>
  </si>
  <si>
    <t>UT17</t>
  </si>
  <si>
    <t>UKT102</t>
  </si>
  <si>
    <t>UKT101</t>
  </si>
  <si>
    <t>UKT100</t>
  </si>
  <si>
    <t>UKT099</t>
  </si>
  <si>
    <t>UKT098</t>
  </si>
  <si>
    <t>UKT097</t>
  </si>
  <si>
    <t>UKT096</t>
  </si>
  <si>
    <t>UKT095</t>
  </si>
  <si>
    <t>UKT094</t>
  </si>
  <si>
    <t>UKT093</t>
  </si>
  <si>
    <t>UKT092</t>
  </si>
  <si>
    <t>UKT091</t>
  </si>
  <si>
    <t>UKT090</t>
  </si>
  <si>
    <t>UKT089</t>
  </si>
  <si>
    <t>UKT088</t>
  </si>
  <si>
    <t>UKT087</t>
  </si>
  <si>
    <t>UKT086</t>
  </si>
  <si>
    <t>UKT084</t>
  </si>
  <si>
    <t>Perekhod</t>
  </si>
  <si>
    <t xml:space="preserve">Botomocyathus zelenovi - Carinacyathus squamosus</t>
  </si>
  <si>
    <t xml:space="preserve">Bergeroniellus micmacciformis - Erbiella</t>
  </si>
  <si>
    <t>UKT083</t>
  </si>
  <si>
    <t>UKT082</t>
  </si>
  <si>
    <t>UKT081</t>
  </si>
  <si>
    <t>UKT080</t>
  </si>
  <si>
    <t>UKT079</t>
  </si>
  <si>
    <t>UKT078</t>
  </si>
  <si>
    <t>UKT077</t>
  </si>
  <si>
    <t>UKT076</t>
  </si>
  <si>
    <t>UKT075</t>
  </si>
  <si>
    <t>UKT074</t>
  </si>
  <si>
    <t>UKT073</t>
  </si>
  <si>
    <t>UKT072</t>
  </si>
  <si>
    <t>UKT071</t>
  </si>
  <si>
    <t>UKT070</t>
  </si>
  <si>
    <t>UKT069</t>
  </si>
  <si>
    <t>UKT068</t>
  </si>
  <si>
    <t xml:space="preserve">Lowstand System Tract</t>
  </si>
  <si>
    <t>UKT067</t>
  </si>
  <si>
    <t>UKT066</t>
  </si>
  <si>
    <t>UKT065</t>
  </si>
  <si>
    <t>UKT064</t>
  </si>
  <si>
    <t>UKT063</t>
  </si>
  <si>
    <t>UKT062</t>
  </si>
  <si>
    <t>UKT061</t>
  </si>
  <si>
    <t>UKT060</t>
  </si>
  <si>
    <t>UKT059</t>
  </si>
  <si>
    <t>UT16</t>
  </si>
  <si>
    <t>UT15</t>
  </si>
  <si>
    <t>UT14</t>
  </si>
  <si>
    <t>UT13</t>
  </si>
  <si>
    <t>UT12</t>
  </si>
  <si>
    <t>UT09</t>
  </si>
  <si>
    <t>UT08</t>
  </si>
  <si>
    <t>UT07</t>
  </si>
  <si>
    <t>UT06</t>
  </si>
  <si>
    <t>UT05</t>
  </si>
  <si>
    <t>UT04</t>
  </si>
  <si>
    <t>UT03</t>
  </si>
  <si>
    <t>UT02</t>
  </si>
  <si>
    <t>UT01</t>
  </si>
  <si>
    <t>UKT054</t>
  </si>
  <si>
    <t>UKT053</t>
  </si>
  <si>
    <t>UKT052</t>
  </si>
  <si>
    <t>UKT051</t>
  </si>
  <si>
    <t>UKT050</t>
  </si>
  <si>
    <t>UKT049</t>
  </si>
  <si>
    <t>UKT048</t>
  </si>
  <si>
    <t>UKT047</t>
  </si>
  <si>
    <t>Atdabanian</t>
  </si>
  <si>
    <t xml:space="preserve">Fansycyathus lermontovae</t>
  </si>
  <si>
    <t>Judomia</t>
  </si>
  <si>
    <t>UKT046</t>
  </si>
  <si>
    <t>UKT045</t>
  </si>
  <si>
    <t>UKT044</t>
  </si>
  <si>
    <t>UKT043</t>
  </si>
  <si>
    <t>UKT042</t>
  </si>
  <si>
    <t>UKT041</t>
  </si>
  <si>
    <t>UKT040</t>
  </si>
  <si>
    <t>UKT039</t>
  </si>
  <si>
    <t>UKT038</t>
  </si>
  <si>
    <t>UKT037</t>
  </si>
  <si>
    <t>UKT036</t>
  </si>
  <si>
    <t>UKT035</t>
  </si>
  <si>
    <t>UKT034</t>
  </si>
  <si>
    <t>UKT033</t>
  </si>
  <si>
    <t>UKT032</t>
  </si>
  <si>
    <t>UKT031</t>
  </si>
  <si>
    <t>UKT030</t>
  </si>
  <si>
    <t>UKT028</t>
  </si>
  <si>
    <t>UKT027</t>
  </si>
  <si>
    <t>UKT026</t>
  </si>
  <si>
    <t>UKT025</t>
  </si>
  <si>
    <t>UKT024</t>
  </si>
  <si>
    <t>UKT023</t>
  </si>
  <si>
    <t>UKT022</t>
  </si>
  <si>
    <t>UKT021</t>
  </si>
  <si>
    <t>UKT020</t>
  </si>
  <si>
    <t>UKT019</t>
  </si>
  <si>
    <t>UKT018</t>
  </si>
  <si>
    <t>Pestrotsvet</t>
  </si>
  <si>
    <t xml:space="preserve">Nochoroicyathus kokoulini</t>
  </si>
  <si>
    <t>UKT017</t>
  </si>
  <si>
    <t>UKT016</t>
  </si>
  <si>
    <t>UKT015</t>
  </si>
  <si>
    <t>UKT014</t>
  </si>
  <si>
    <t>UKT013</t>
  </si>
  <si>
    <t>UKT012</t>
  </si>
  <si>
    <t>UKT011</t>
  </si>
  <si>
    <t>UKT010</t>
  </si>
  <si>
    <t>UKT009</t>
  </si>
  <si>
    <t>UKT008</t>
  </si>
  <si>
    <t>UKT007</t>
  </si>
  <si>
    <t>UKT006</t>
  </si>
  <si>
    <t xml:space="preserve">Carinacyathus pinus</t>
  </si>
  <si>
    <t xml:space="preserve">Delgadell anabara</t>
  </si>
  <si>
    <t>UKT005</t>
  </si>
  <si>
    <t>UKT004</t>
  </si>
  <si>
    <t>UKT003</t>
  </si>
  <si>
    <t>UKT001</t>
  </si>
  <si>
    <t xml:space="preserve">AKT 7-39</t>
  </si>
  <si>
    <t xml:space="preserve">AKT 7-38</t>
  </si>
  <si>
    <t xml:space="preserve">AKT 7-37</t>
  </si>
  <si>
    <t xml:space="preserve">AKT 7-36</t>
  </si>
  <si>
    <t xml:space="preserve">AKT 6-34</t>
  </si>
  <si>
    <t xml:space="preserve">AKT 5-33</t>
  </si>
  <si>
    <t xml:space="preserve">AKT 5-32</t>
  </si>
  <si>
    <t xml:space="preserve">AKT 4-31</t>
  </si>
  <si>
    <t xml:space="preserve">AKT 4-30</t>
  </si>
  <si>
    <t xml:space="preserve">AKT 4-29</t>
  </si>
  <si>
    <t xml:space="preserve">AKT 4-28</t>
  </si>
  <si>
    <t xml:space="preserve">AKT 3-27</t>
  </si>
  <si>
    <t xml:space="preserve">AKT 3-26</t>
  </si>
  <si>
    <t xml:space="preserve">AKT 3-25</t>
  </si>
  <si>
    <t xml:space="preserve">AKT 3-24</t>
  </si>
  <si>
    <t xml:space="preserve">AKT 3-23</t>
  </si>
  <si>
    <t xml:space="preserve">AKT 2-22</t>
  </si>
  <si>
    <t xml:space="preserve">AKT 2-21</t>
  </si>
  <si>
    <t xml:space="preserve">AKT 2-20</t>
  </si>
  <si>
    <t xml:space="preserve">AKT 1-19</t>
  </si>
  <si>
    <t xml:space="preserve">AKT 1-18</t>
  </si>
  <si>
    <t xml:space="preserve">AKT 1-17</t>
  </si>
  <si>
    <t xml:space="preserve">AKT 1-16</t>
  </si>
  <si>
    <t xml:space="preserve">AKT 1-15</t>
  </si>
  <si>
    <t xml:space="preserve">AKT 1-14</t>
  </si>
  <si>
    <t xml:space="preserve">AKT 1-13</t>
  </si>
  <si>
    <t xml:space="preserve">AKT VG12</t>
  </si>
  <si>
    <t xml:space="preserve">AKT VG11</t>
  </si>
  <si>
    <t xml:space="preserve">AKT VG10</t>
  </si>
  <si>
    <t xml:space="preserve">AKT VG9</t>
  </si>
  <si>
    <t xml:space="preserve">AKT VG8</t>
  </si>
  <si>
    <t xml:space="preserve">AKT B7</t>
  </si>
  <si>
    <t xml:space="preserve">AKT B5</t>
  </si>
  <si>
    <t xml:space="preserve">AKT B4</t>
  </si>
  <si>
    <t xml:space="preserve">AKT B3</t>
  </si>
  <si>
    <t xml:space="preserve">AKT B2</t>
  </si>
  <si>
    <t xml:space="preserve">AKT A1</t>
  </si>
  <si>
    <t xml:space="preserve">Z Mys 54</t>
  </si>
  <si>
    <t xml:space="preserve">Z Mys 53</t>
  </si>
  <si>
    <t xml:space="preserve">Z Mys 52</t>
  </si>
  <si>
    <t xml:space="preserve">Z Mys 51</t>
  </si>
  <si>
    <t xml:space="preserve">Z Mys 50</t>
  </si>
  <si>
    <t xml:space="preserve">Z Mys 49</t>
  </si>
  <si>
    <t xml:space="preserve">Z Mys 48</t>
  </si>
  <si>
    <t xml:space="preserve">Z Mys 47</t>
  </si>
  <si>
    <t xml:space="preserve">Z Mys 46</t>
  </si>
  <si>
    <t xml:space="preserve">Z Mys 45</t>
  </si>
  <si>
    <t xml:space="preserve">Z Mys 44</t>
  </si>
  <si>
    <t xml:space="preserve">Z Mys 43</t>
  </si>
  <si>
    <t xml:space="preserve">Z Mys 42</t>
  </si>
  <si>
    <t xml:space="preserve">Z Mys 41</t>
  </si>
  <si>
    <t xml:space="preserve">Z Mys 40</t>
  </si>
  <si>
    <t xml:space="preserve">Z Mys 39</t>
  </si>
  <si>
    <t xml:space="preserve">Z Mys 38</t>
  </si>
  <si>
    <t xml:space="preserve">Z Mys 37</t>
  </si>
  <si>
    <t xml:space="preserve">Z Mys 36</t>
  </si>
  <si>
    <t xml:space="preserve">Z Mys 35</t>
  </si>
  <si>
    <t xml:space="preserve">Retecoscinus zegebarti</t>
  </si>
  <si>
    <t>Repinaella</t>
  </si>
  <si>
    <t xml:space="preserve">Z Mys 34</t>
  </si>
  <si>
    <t xml:space="preserve">Z Mys 33</t>
  </si>
  <si>
    <t xml:space="preserve">Z Mys 32</t>
  </si>
  <si>
    <t xml:space="preserve">Z Mys 31</t>
  </si>
  <si>
    <t xml:space="preserve">Z Mys 30</t>
  </si>
  <si>
    <t xml:space="preserve">Z Mys 29</t>
  </si>
  <si>
    <t xml:space="preserve">Z Mys 28</t>
  </si>
  <si>
    <t xml:space="preserve">Z Mys 27</t>
  </si>
  <si>
    <t xml:space="preserve">Z Mys 26</t>
  </si>
  <si>
    <t xml:space="preserve">Z Mys 25</t>
  </si>
  <si>
    <t xml:space="preserve">Z Mys 24</t>
  </si>
  <si>
    <t>ZHU37</t>
  </si>
  <si>
    <t>ZHU36</t>
  </si>
  <si>
    <t>ZHU35</t>
  </si>
  <si>
    <t>ZHU34</t>
  </si>
  <si>
    <t>ZHU33</t>
  </si>
  <si>
    <t xml:space="preserve">Profallotaspis jakutensis</t>
  </si>
  <si>
    <t>ZHU32</t>
  </si>
  <si>
    <t>ZHU31</t>
  </si>
  <si>
    <t>ZHU30</t>
  </si>
  <si>
    <t>ZHU29</t>
  </si>
  <si>
    <t>ZHU28</t>
  </si>
  <si>
    <t>ZHU27</t>
  </si>
  <si>
    <t>ZHU26</t>
  </si>
  <si>
    <t>ZHU25</t>
  </si>
  <si>
    <t>ZHU24</t>
  </si>
  <si>
    <t>ZHU23</t>
  </si>
  <si>
    <t>ZHU22</t>
  </si>
  <si>
    <t>ZHU21</t>
  </si>
  <si>
    <t>ZHU20</t>
  </si>
  <si>
    <t>ZHU19</t>
  </si>
  <si>
    <t>ZHU18</t>
  </si>
  <si>
    <t>ZHU17</t>
  </si>
  <si>
    <t>ZHU16</t>
  </si>
  <si>
    <t>ZHU15</t>
  </si>
  <si>
    <t>ZHU14</t>
  </si>
  <si>
    <t>ZHU13</t>
  </si>
  <si>
    <t>ZHU12</t>
  </si>
  <si>
    <t>ZHU11</t>
  </si>
  <si>
    <t>ZHU10</t>
  </si>
  <si>
    <t>ZHU09</t>
  </si>
  <si>
    <t>ZHU08</t>
  </si>
  <si>
    <t>ZHU07</t>
  </si>
  <si>
    <t>ZHU06</t>
  </si>
  <si>
    <t>ZHU05</t>
  </si>
  <si>
    <t>ZHU04</t>
  </si>
  <si>
    <t>ZHU03</t>
  </si>
  <si>
    <t>Tommotian</t>
  </si>
  <si>
    <t xml:space="preserve">Dokidocyathus lenaicus</t>
  </si>
  <si>
    <t>ZHU02</t>
  </si>
  <si>
    <t>ZHU01</t>
  </si>
  <si>
    <t>IST50</t>
  </si>
  <si>
    <t>IST49</t>
  </si>
  <si>
    <t>IST48</t>
  </si>
  <si>
    <t>IST47</t>
  </si>
  <si>
    <t>IST46</t>
  </si>
  <si>
    <t>IST45</t>
  </si>
  <si>
    <t>IST44</t>
  </si>
  <si>
    <t>IST43</t>
  </si>
  <si>
    <t>IST42</t>
  </si>
  <si>
    <t>IST41</t>
  </si>
  <si>
    <t>IST40</t>
  </si>
  <si>
    <t>IST39</t>
  </si>
  <si>
    <t>IST38</t>
  </si>
  <si>
    <t>IST37</t>
  </si>
  <si>
    <t>IST36</t>
  </si>
  <si>
    <t>IST35</t>
  </si>
  <si>
    <t>IST34</t>
  </si>
  <si>
    <t>IST33</t>
  </si>
  <si>
    <t>IST32</t>
  </si>
  <si>
    <t>IST31</t>
  </si>
  <si>
    <t>IST30</t>
  </si>
  <si>
    <t>IST29</t>
  </si>
  <si>
    <t>IST28</t>
  </si>
  <si>
    <t xml:space="preserve">Dokidocyathus regularis</t>
  </si>
  <si>
    <t>IST27</t>
  </si>
  <si>
    <t>IST26</t>
  </si>
  <si>
    <t>IST25</t>
  </si>
  <si>
    <t>IST24</t>
  </si>
  <si>
    <t>IST23</t>
  </si>
  <si>
    <t>IST22</t>
  </si>
  <si>
    <t>IST21</t>
  </si>
  <si>
    <t>IST20</t>
  </si>
  <si>
    <t>IST19</t>
  </si>
  <si>
    <t>IST18</t>
  </si>
  <si>
    <t>IST17</t>
  </si>
  <si>
    <t>IST16</t>
  </si>
  <si>
    <t>IST15</t>
  </si>
  <si>
    <t xml:space="preserve">Dokidocyathus regularis</t>
  </si>
  <si>
    <t>IST14</t>
  </si>
  <si>
    <t>IST13</t>
  </si>
  <si>
    <t>IST12</t>
  </si>
  <si>
    <t>IST11</t>
  </si>
  <si>
    <t>IST10</t>
  </si>
  <si>
    <t>IST09</t>
  </si>
  <si>
    <t>IST08</t>
  </si>
  <si>
    <t>IST07</t>
  </si>
  <si>
    <t>IST06</t>
  </si>
  <si>
    <t xml:space="preserve">Nochoroicyathus sunnaginicus</t>
  </si>
  <si>
    <t>IST05</t>
  </si>
  <si>
    <t>IST04</t>
  </si>
  <si>
    <t>IST03</t>
  </si>
  <si>
    <t>IST02</t>
  </si>
  <si>
    <t>DVO11</t>
  </si>
  <si>
    <t>DVO10</t>
  </si>
  <si>
    <t>DVO08</t>
  </si>
  <si>
    <t>DVO07</t>
  </si>
  <si>
    <t>Nemakit-Daldynian</t>
  </si>
  <si>
    <t>Yudoma</t>
  </si>
  <si>
    <r>
      <t xml:space="preserve">Protohertzina anabarica</t>
    </r>
    <r>
      <rPr>
        <sz val="12"/>
        <rFont val="Calibri"/>
        <scheme val="minor"/>
      </rPr>
      <t xml:space="preserve"> (SSFs)</t>
    </r>
  </si>
  <si>
    <t>DVO06</t>
  </si>
  <si>
    <t>DVO04</t>
  </si>
  <si>
    <t>DVO02</t>
  </si>
  <si>
    <t>DVO01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</si>
</sst>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9">
    <font>
      <sz val="12.000000"/>
      <color theme="1"/>
      <name val="Calibri"/>
      <scheme val="minor"/>
    </font>
    <font>
      <u/>
      <sz val="12.000000"/>
      <color theme="11"/>
      <name val="Calibri"/>
      <scheme val="minor"/>
    </font>
    <font>
      <u/>
      <sz val="12.000000"/>
      <color theme="10"/>
      <name val="Calibri"/>
      <scheme val="minor"/>
    </font>
    <font>
      <b/>
      <sz val="12.000000"/>
      <color theme="1"/>
      <name val="Calibri"/>
      <scheme val="minor"/>
    </font>
    <font>
      <i/>
      <sz val="12.000000"/>
      <color theme="1"/>
      <name val="Calibri"/>
      <scheme val="minor"/>
    </font>
    <font>
      <sz val="12.000000"/>
      <color indexed="64"/>
      <name val="Calibri"/>
      <scheme val="minor"/>
    </font>
    <font>
      <sz val="12.000000"/>
      <color indexed="2"/>
      <name val="Calibri"/>
      <scheme val="minor"/>
    </font>
    <font>
      <sz val="12.000000"/>
      <name val="Calibri"/>
      <scheme val="minor"/>
    </font>
    <font>
      <i/>
      <sz val="12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1">
    <border>
      <left style="none"/>
      <right style="none"/>
      <top style="none"/>
      <bottom style="none"/>
      <diagonal style="none"/>
    </border>
  </borders>
  <cellStyleXfs count="41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</cellStyleXfs>
  <cellXfs count="35">
    <xf fontId="0" fillId="0" borderId="0" numFmtId="0" xfId="0"/>
    <xf fontId="0" fillId="0" borderId="0" numFmtId="0" xfId="0"/>
    <xf fontId="0" fillId="0" borderId="0" numFmtId="2" xfId="0" applyNumberFormat="1"/>
    <xf fontId="0" fillId="0" borderId="0" numFmtId="0" xfId="0" applyAlignment="1">
      <alignment horizontal="right"/>
    </xf>
    <xf fontId="0" fillId="0" borderId="0" numFmtId="164" xfId="0" applyNumberFormat="1"/>
    <xf fontId="0" fillId="0" borderId="0" numFmtId="165" xfId="0" applyNumberFormat="1"/>
    <xf fontId="3" fillId="0" borderId="0" numFmtId="0" xfId="0" applyFont="1"/>
    <xf fontId="3" fillId="2" borderId="0" numFmtId="0" xfId="0" applyFont="1" applyFill="1" applyAlignment="1">
      <alignment horizontal="left"/>
    </xf>
    <xf fontId="3" fillId="2" borderId="0" numFmtId="2" xfId="0" applyNumberFormat="1" applyFont="1" applyFill="1" applyAlignment="1">
      <alignment horizontal="left"/>
    </xf>
    <xf fontId="3" fillId="2" borderId="0" numFmtId="165" xfId="0" applyNumberFormat="1" applyFont="1" applyFill="1" applyAlignment="1">
      <alignment horizontal="left"/>
    </xf>
    <xf fontId="3" fillId="2" borderId="0" numFmtId="164" xfId="0" applyNumberFormat="1" applyFont="1" applyFill="1" applyAlignment="1">
      <alignment horizontal="left"/>
    </xf>
    <xf fontId="0" fillId="2" borderId="0" numFmtId="0" xfId="0" applyFill="1" applyAlignment="1">
      <alignment horizontal="left"/>
    </xf>
    <xf fontId="0" fillId="2" borderId="0" numFmtId="2" xfId="0" applyNumberFormat="1" applyFill="1" applyAlignment="1">
      <alignment horizontal="left"/>
    </xf>
    <xf fontId="0" fillId="2" borderId="0" numFmtId="165" xfId="0" applyNumberFormat="1" applyFill="1" applyAlignment="1">
      <alignment horizontal="left"/>
    </xf>
    <xf fontId="4" fillId="2" borderId="0" numFmtId="0" xfId="0" applyFont="1" applyFill="1" applyAlignment="1">
      <alignment horizontal="left"/>
    </xf>
    <xf fontId="0" fillId="2" borderId="0" numFmtId="0" xfId="0" applyFill="1" applyAlignment="1">
      <alignment horizontal="center"/>
    </xf>
    <xf fontId="0" fillId="2" borderId="0" numFmtId="0" xfId="0" applyFill="1" applyAlignment="1">
      <alignment horizontal="right"/>
    </xf>
    <xf fontId="0" fillId="2" borderId="0" numFmtId="164" xfId="0" applyNumberFormat="1" applyFill="1" applyAlignment="1">
      <alignment horizontal="left"/>
    </xf>
    <xf fontId="5" fillId="2" borderId="0" numFmtId="2" xfId="0" applyNumberFormat="1" applyFont="1" applyFill="1" applyAlignment="1">
      <alignment horizontal="left"/>
    </xf>
    <xf fontId="6" fillId="2" borderId="0" numFmtId="2" xfId="0" applyNumberFormat="1" applyFont="1" applyFill="1" applyAlignment="1">
      <alignment horizontal="right"/>
    </xf>
    <xf fontId="0" fillId="2" borderId="0" numFmtId="165" xfId="0" applyNumberFormat="1" applyFill="1" applyAlignment="1">
      <alignment horizontal="right"/>
    </xf>
    <xf fontId="4" fillId="2" borderId="0" numFmtId="0" xfId="0" applyFont="1" applyFill="1" applyAlignment="1">
      <alignment horizontal="right"/>
    </xf>
    <xf fontId="7" fillId="2" borderId="0" numFmtId="0" xfId="0" applyFont="1" applyFill="1" applyAlignment="1">
      <alignment horizontal="right"/>
    </xf>
    <xf fontId="7" fillId="2" borderId="0" numFmtId="164" xfId="0" applyNumberFormat="1" applyFont="1" applyFill="1" applyAlignment="1">
      <alignment horizontal="right"/>
    </xf>
    <xf fontId="0" fillId="2" borderId="0" numFmtId="2" xfId="0" applyNumberFormat="1" applyFill="1" applyAlignment="1">
      <alignment horizontal="right"/>
    </xf>
    <xf fontId="5" fillId="2" borderId="0" numFmtId="0" xfId="0" applyFont="1" applyFill="1" applyAlignment="1">
      <alignment horizontal="right"/>
    </xf>
    <xf fontId="0" fillId="2" borderId="0" numFmtId="164" xfId="0" applyNumberFormat="1" applyFill="1" applyAlignment="1">
      <alignment horizontal="right"/>
    </xf>
    <xf fontId="7" fillId="2" borderId="0" numFmtId="165" xfId="0" applyNumberFormat="1" applyFont="1" applyFill="1" applyAlignment="1">
      <alignment horizontal="right"/>
    </xf>
    <xf fontId="7" fillId="2" borderId="0" numFmtId="2" xfId="0" applyNumberFormat="1" applyFont="1" applyFill="1" applyAlignment="1">
      <alignment horizontal="right"/>
    </xf>
    <xf fontId="5" fillId="2" borderId="0" numFmtId="164" xfId="0" applyNumberFormat="1" applyFont="1" applyFill="1" applyAlignment="1">
      <alignment horizontal="right"/>
    </xf>
    <xf fontId="5" fillId="2" borderId="0" numFmtId="165" xfId="0" applyNumberFormat="1" applyFont="1" applyFill="1" applyAlignment="1">
      <alignment horizontal="right"/>
    </xf>
    <xf fontId="5" fillId="2" borderId="0" numFmtId="2" xfId="0" applyNumberFormat="1" applyFont="1" applyFill="1" applyAlignment="1">
      <alignment horizontal="right"/>
    </xf>
    <xf fontId="8" fillId="2" borderId="0" numFmtId="0" xfId="0" applyFont="1" applyFill="1" applyAlignment="1">
      <alignment horizontal="right"/>
    </xf>
    <xf fontId="6" fillId="2" borderId="0" numFmtId="0" xfId="0" applyFont="1" applyFill="1" applyAlignment="1">
      <alignment horizontal="right"/>
    </xf>
    <xf fontId="0" fillId="2" borderId="0" numFmtId="0" xfId="0" applyFill="1"/>
  </cellXfs>
  <cellStyles count="41">
    <cellStyle name="Followed Hyperlink" xfId="1" builtinId="9"/>
    <cellStyle name="Followed Hyperlink" xfId="2" builtinId="9"/>
    <cellStyle name="Followed Hyperlink" xfId="3" builtinId="9"/>
    <cellStyle name="Followed Hyperlink" xfId="4" builtinId="9"/>
    <cellStyle name="Followed Hyperlink" xfId="5" builtinId="9"/>
    <cellStyle name="Followed Hyperlink" xfId="6" builtinId="9"/>
    <cellStyle name="Followed Hyperlink" xfId="7" builtinId="9"/>
    <cellStyle name="Followed Hyperlink" xfId="8" builtinId="9"/>
    <cellStyle name="Followed Hyperlink" xfId="9" builtinId="9"/>
    <cellStyle name="Followed Hyperlink" xfId="10" builtinId="9"/>
    <cellStyle name="Followed Hyperlink" xfId="11" builtinId="9"/>
    <cellStyle name="Followed Hyperlink" xfId="12" builtinId="9"/>
    <cellStyle name="Followed Hyperlink" xfId="13" builtinId="9"/>
    <cellStyle name="Followed Hyperlink" xfId="14" builtinId="9"/>
    <cellStyle name="Followed Hyperlink" xfId="15" builtinId="9"/>
    <cellStyle name="Followed Hyperlink" xfId="16" builtinId="9"/>
    <cellStyle name="Followed Hyperlink" xfId="17" builtinId="9"/>
    <cellStyle name="Followed Hyperlink" xfId="18" builtinId="9"/>
    <cellStyle name="Followed Hyperlink" xfId="19" builtinId="9"/>
    <cellStyle name="Followed Hyperlink" xfId="20" builtinId="9"/>
    <cellStyle name="Hyperlink" xfId="21" builtinId="8"/>
    <cellStyle name="Hyperlink" xfId="22" builtinId="8"/>
    <cellStyle name="Hyperlink" xfId="23" builtinId="8"/>
    <cellStyle name="Hyperlink" xfId="24" builtinId="8"/>
    <cellStyle name="Hyperlink" xfId="25" builtinId="8"/>
    <cellStyle name="Hyperlink" xfId="26" builtinId="8"/>
    <cellStyle name="Hyperlink" xfId="27" builtinId="8"/>
    <cellStyle name="Hyperlink" xfId="28" builtinId="8"/>
    <cellStyle name="Hyperlink" xfId="29" builtinId="8"/>
    <cellStyle name="Hyperlink" xfId="30" builtinId="8"/>
    <cellStyle name="Hyperlink" xfId="31" builtinId="8"/>
    <cellStyle name="Hyperlink" xfId="32" builtinId="8"/>
    <cellStyle name="Hyperlink" xfId="33" builtinId="8"/>
    <cellStyle name="Hyperlink" xfId="34" builtinId="8"/>
    <cellStyle name="Hyperlink" xfId="35" builtinId="8"/>
    <cellStyle name="Hyperlink" xfId="36" builtinId="8"/>
    <cellStyle name="Hyperlink" xfId="37" builtinId="8"/>
    <cellStyle name="Hyperlink" xfId="38" builtinId="8"/>
    <cellStyle name="Hyperlink" xfId="39" builtinId="8"/>
    <cellStyle name="Hyperlink" xfId="40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pane xSplit="1" ySplit="2" topLeftCell="B3" activePane="bottomRight" state="frozen"/>
      <selection activeCell="B3" activeCellId="0" sqref="B3"/>
    </sheetView>
  </sheetViews>
  <sheetFormatPr defaultColWidth="10.8984375" defaultRowHeight="16.5"/>
  <cols>
    <col customWidth="1" min="1" max="1" style="1" width="11.8984375"/>
    <col customWidth="1" min="2" max="2" style="1" width="10.59765625"/>
    <col customWidth="1" min="3" max="3" style="2" width="9.3984375"/>
    <col customWidth="1" min="4" max="4" style="1" width="17.09765625"/>
    <col customWidth="1" min="5" max="5" style="1" width="22"/>
    <col customWidth="1" min="6" max="6" style="1" width="16.59765625"/>
    <col customWidth="1" min="7" max="7" style="1" width="57.69921875"/>
    <col customWidth="1" min="8" max="8" style="1" width="39.5"/>
    <col customWidth="1" min="9" max="9" style="1" width="26.59765625"/>
    <col customWidth="1" min="10" max="10" style="1" width="25"/>
    <col customWidth="1" min="11" max="11" style="3" width="31.5"/>
    <col customWidth="1" min="12" max="12" style="4" width="10.09765625"/>
    <col customWidth="1" min="13" max="13" style="4" width="10.59765625"/>
    <col customWidth="1" min="14" max="15" style="4" width="9.09765625"/>
    <col customWidth="1" min="16" max="16" style="4" width="17.09765625"/>
    <col customWidth="1" min="17" max="17" style="5" width="9.3984375"/>
    <col customWidth="1" min="18" max="18" style="2" width="8.09765625"/>
    <col min="19" max="16384" style="1" width="10.8984375"/>
  </cols>
  <sheetData>
    <row r="1" s="6" customFormat="1" ht="17.399999999999999">
      <c r="A1" s="7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9" t="s">
        <v>16</v>
      </c>
      <c r="R1" s="8" t="s">
        <v>17</v>
      </c>
    </row>
    <row r="2">
      <c r="A2" s="11"/>
      <c r="B2" s="11" t="s">
        <v>18</v>
      </c>
      <c r="C2" s="12" t="s">
        <v>19</v>
      </c>
      <c r="D2" s="13" t="s">
        <v>20</v>
      </c>
      <c r="E2" s="13"/>
      <c r="F2" s="11"/>
      <c r="G2" s="14"/>
      <c r="H2" s="15"/>
      <c r="I2" s="15"/>
      <c r="J2" s="15"/>
      <c r="K2" s="16"/>
      <c r="L2" s="17" t="s">
        <v>21</v>
      </c>
      <c r="M2" s="17" t="s">
        <v>21</v>
      </c>
      <c r="N2" s="17" t="s">
        <v>22</v>
      </c>
      <c r="O2" s="17" t="s">
        <v>23</v>
      </c>
      <c r="P2" s="17" t="s">
        <v>24</v>
      </c>
      <c r="Q2" s="13" t="s">
        <v>25</v>
      </c>
      <c r="R2" s="18" t="s">
        <v>26</v>
      </c>
    </row>
    <row r="3">
      <c r="A3" s="11"/>
      <c r="B3" s="16">
        <v>754.5</v>
      </c>
      <c r="C3" s="19">
        <v>511</v>
      </c>
      <c r="D3" s="20">
        <f>3.45/(B3-B273)</f>
        <v>6.9027611044417767e-003</v>
      </c>
      <c r="E3" s="20" t="s">
        <v>27</v>
      </c>
      <c r="F3" s="11"/>
      <c r="G3" s="14"/>
      <c r="H3" s="21" t="s">
        <v>28</v>
      </c>
      <c r="I3" s="16"/>
      <c r="J3" s="15"/>
      <c r="K3" s="16" t="s">
        <v>29</v>
      </c>
      <c r="L3" s="17"/>
      <c r="M3" s="17"/>
      <c r="N3" s="17"/>
      <c r="O3" s="17"/>
      <c r="P3" s="17"/>
      <c r="Q3" s="13"/>
      <c r="R3" s="18"/>
    </row>
    <row r="4" s="3" customFormat="1">
      <c r="A4" s="22" t="s">
        <v>30</v>
      </c>
      <c r="B4" s="23">
        <v>619</v>
      </c>
      <c r="C4" s="24">
        <f t="shared" ref="C4:C67" si="0">C3+(B3-B4)*D4</f>
        <v>511.93532412965186</v>
      </c>
      <c r="D4" s="20">
        <v>6.9027611044417767e-003</v>
      </c>
      <c r="E4" s="20" t="s">
        <v>27</v>
      </c>
      <c r="F4" s="25" t="s">
        <v>31</v>
      </c>
      <c r="G4" s="22"/>
      <c r="H4" s="21" t="s">
        <v>32</v>
      </c>
      <c r="I4" s="16">
        <v>0</v>
      </c>
      <c r="J4" s="16">
        <v>95</v>
      </c>
      <c r="K4" s="16" t="s">
        <v>29</v>
      </c>
      <c r="L4" s="23">
        <v>-0.88500000000000001</v>
      </c>
      <c r="M4" s="23">
        <v>-7.5129999999999999</v>
      </c>
      <c r="N4" s="26"/>
      <c r="O4" s="26"/>
      <c r="P4" s="26"/>
      <c r="Q4" s="20"/>
      <c r="R4" s="24"/>
    </row>
    <row r="5" s="3" customFormat="1">
      <c r="A5" s="22" t="s">
        <v>33</v>
      </c>
      <c r="B5" s="23">
        <v>617</v>
      </c>
      <c r="C5" s="24">
        <f t="shared" si="0"/>
        <v>511.94912965186074</v>
      </c>
      <c r="D5" s="20">
        <v>6.9027611044417767e-003</v>
      </c>
      <c r="E5" s="20" t="s">
        <v>27</v>
      </c>
      <c r="F5" s="25" t="s">
        <v>31</v>
      </c>
      <c r="G5" s="22"/>
      <c r="H5" s="21" t="s">
        <v>32</v>
      </c>
      <c r="I5" s="16">
        <v>0</v>
      </c>
      <c r="J5" s="16">
        <v>95</v>
      </c>
      <c r="K5" s="16" t="s">
        <v>29</v>
      </c>
      <c r="L5" s="23">
        <v>-0.80400000000000005</v>
      </c>
      <c r="M5" s="23">
        <v>-7.2679999999999998</v>
      </c>
      <c r="N5" s="26">
        <v>28.133144078080907</v>
      </c>
      <c r="O5" s="26">
        <v>25.425148674773936</v>
      </c>
      <c r="P5" s="23">
        <v>87.213533499999997</v>
      </c>
      <c r="Q5" s="27">
        <v>4.996117552990351e-003</v>
      </c>
      <c r="R5" s="28">
        <v>2.2187042798148322e-002</v>
      </c>
    </row>
    <row r="6" s="3" customFormat="1">
      <c r="A6" s="22" t="s">
        <v>34</v>
      </c>
      <c r="B6" s="23">
        <v>616</v>
      </c>
      <c r="C6" s="24">
        <f t="shared" si="0"/>
        <v>511.95603241296516</v>
      </c>
      <c r="D6" s="20">
        <v>6.9027611044417767e-003</v>
      </c>
      <c r="E6" s="20" t="s">
        <v>27</v>
      </c>
      <c r="F6" s="25" t="s">
        <v>31</v>
      </c>
      <c r="G6" s="22"/>
      <c r="H6" s="21" t="s">
        <v>32</v>
      </c>
      <c r="I6" s="16">
        <v>0</v>
      </c>
      <c r="J6" s="16">
        <v>95</v>
      </c>
      <c r="K6" s="16" t="s">
        <v>29</v>
      </c>
      <c r="L6" s="23">
        <v>-0.89300000000000002</v>
      </c>
      <c r="M6" s="23">
        <v>-7.3879999999999999</v>
      </c>
      <c r="N6" s="26"/>
      <c r="O6" s="26"/>
      <c r="P6" s="26"/>
      <c r="Q6" s="20"/>
      <c r="R6" s="24"/>
    </row>
    <row r="7" s="3" customFormat="1">
      <c r="A7" s="22" t="s">
        <v>35</v>
      </c>
      <c r="B7" s="23">
        <v>615</v>
      </c>
      <c r="C7" s="24">
        <f t="shared" si="0"/>
        <v>511.96293517406957</v>
      </c>
      <c r="D7" s="20">
        <v>6.9027611044417767e-003</v>
      </c>
      <c r="E7" s="20" t="s">
        <v>27</v>
      </c>
      <c r="F7" s="25" t="s">
        <v>31</v>
      </c>
      <c r="G7" s="22"/>
      <c r="H7" s="21" t="s">
        <v>32</v>
      </c>
      <c r="I7" s="16">
        <v>0</v>
      </c>
      <c r="J7" s="16">
        <v>95</v>
      </c>
      <c r="K7" s="16" t="s">
        <v>29</v>
      </c>
      <c r="L7" s="23">
        <v>-0.76600000000000001</v>
      </c>
      <c r="M7" s="23">
        <v>-7.2990000000000004</v>
      </c>
      <c r="N7" s="26"/>
      <c r="O7" s="26"/>
      <c r="P7" s="26"/>
      <c r="Q7" s="20"/>
      <c r="R7" s="24"/>
    </row>
    <row r="8" s="3" customFormat="1">
      <c r="A8" s="22" t="s">
        <v>36</v>
      </c>
      <c r="B8" s="23">
        <v>613</v>
      </c>
      <c r="C8" s="24">
        <f t="shared" si="0"/>
        <v>511.97674069627845</v>
      </c>
      <c r="D8" s="20">
        <v>6.9027611044417767e-003</v>
      </c>
      <c r="E8" s="20" t="s">
        <v>27</v>
      </c>
      <c r="F8" s="25" t="s">
        <v>31</v>
      </c>
      <c r="G8" s="22"/>
      <c r="H8" s="21" t="s">
        <v>32</v>
      </c>
      <c r="I8" s="16">
        <v>0</v>
      </c>
      <c r="J8" s="16">
        <v>95</v>
      </c>
      <c r="K8" s="16" t="s">
        <v>29</v>
      </c>
      <c r="L8" s="23">
        <v>-0.67000000000000004</v>
      </c>
      <c r="M8" s="23">
        <v>-6.7750000000000004</v>
      </c>
      <c r="N8" s="26"/>
      <c r="O8" s="26"/>
      <c r="P8" s="26"/>
      <c r="Q8" s="20"/>
      <c r="R8" s="24"/>
    </row>
    <row r="9" s="3" customFormat="1">
      <c r="A9" s="22" t="s">
        <v>37</v>
      </c>
      <c r="B9" s="23">
        <v>611</v>
      </c>
      <c r="C9" s="24">
        <f t="shared" si="0"/>
        <v>511.99054621848734</v>
      </c>
      <c r="D9" s="20">
        <v>6.9027611044417767e-003</v>
      </c>
      <c r="E9" s="20" t="s">
        <v>27</v>
      </c>
      <c r="F9" s="25" t="s">
        <v>31</v>
      </c>
      <c r="G9" s="22"/>
      <c r="H9" s="21" t="s">
        <v>32</v>
      </c>
      <c r="I9" s="16">
        <v>0</v>
      </c>
      <c r="J9" s="16">
        <v>95</v>
      </c>
      <c r="K9" s="16" t="s">
        <v>29</v>
      </c>
      <c r="L9" s="23">
        <v>-0.79400000000000004</v>
      </c>
      <c r="M9" s="23">
        <v>-7.0250000000000004</v>
      </c>
      <c r="N9" s="26">
        <v>26.735470956103597</v>
      </c>
      <c r="O9" s="26">
        <v>20.322104489995382</v>
      </c>
      <c r="P9" s="23">
        <v>88.34234450000001</v>
      </c>
      <c r="Q9" s="27">
        <v>4.6721621998843544e-003</v>
      </c>
      <c r="R9" s="28">
        <v>3.9990949701224111e-002</v>
      </c>
    </row>
    <row r="10" s="3" customFormat="1">
      <c r="A10" s="22" t="s">
        <v>38</v>
      </c>
      <c r="B10" s="23">
        <v>609</v>
      </c>
      <c r="C10" s="19">
        <f t="shared" si="0"/>
        <v>512.00435174069617</v>
      </c>
      <c r="D10" s="20">
        <v>6.9027611044417767e-003</v>
      </c>
      <c r="E10" s="20" t="s">
        <v>27</v>
      </c>
      <c r="F10" s="25" t="s">
        <v>31</v>
      </c>
      <c r="G10" s="22"/>
      <c r="H10" s="21" t="s">
        <v>32</v>
      </c>
      <c r="I10" s="16">
        <v>0</v>
      </c>
      <c r="J10" s="16">
        <v>95</v>
      </c>
      <c r="K10" s="16" t="s">
        <v>29</v>
      </c>
      <c r="L10" s="23">
        <v>-0.83599999999999997</v>
      </c>
      <c r="M10" s="23">
        <v>-7.149</v>
      </c>
      <c r="N10" s="26"/>
      <c r="O10" s="26"/>
      <c r="P10" s="26"/>
      <c r="Q10" s="20"/>
      <c r="R10" s="24"/>
    </row>
    <row r="11" s="3" customFormat="1">
      <c r="A11" s="22" t="s">
        <v>39</v>
      </c>
      <c r="B11" s="23">
        <v>608</v>
      </c>
      <c r="C11" s="24">
        <f t="shared" si="0"/>
        <v>512.01125450180064</v>
      </c>
      <c r="D11" s="20">
        <v>6.9027611044417767e-003</v>
      </c>
      <c r="E11" s="20" t="s">
        <v>27</v>
      </c>
      <c r="F11" s="25" t="s">
        <v>31</v>
      </c>
      <c r="G11" s="22"/>
      <c r="H11" s="21" t="s">
        <v>32</v>
      </c>
      <c r="I11" s="16">
        <v>0</v>
      </c>
      <c r="J11" s="16">
        <v>95</v>
      </c>
      <c r="K11" s="16" t="s">
        <v>29</v>
      </c>
      <c r="L11" s="23">
        <v>-0.81399999999999995</v>
      </c>
      <c r="M11" s="23">
        <v>-6.9900000000000002</v>
      </c>
      <c r="N11" s="26"/>
      <c r="O11" s="26"/>
      <c r="P11" s="26"/>
      <c r="Q11" s="20"/>
      <c r="R11" s="24"/>
    </row>
    <row r="12" s="3" customFormat="1">
      <c r="A12" s="22" t="s">
        <v>40</v>
      </c>
      <c r="B12" s="23">
        <v>606</v>
      </c>
      <c r="C12" s="24">
        <f t="shared" si="0"/>
        <v>512.02506002400946</v>
      </c>
      <c r="D12" s="20">
        <v>6.9027611044417767e-003</v>
      </c>
      <c r="E12" s="20" t="s">
        <v>27</v>
      </c>
      <c r="F12" s="25" t="s">
        <v>31</v>
      </c>
      <c r="G12" s="22"/>
      <c r="H12" s="21" t="s">
        <v>32</v>
      </c>
      <c r="I12" s="16">
        <v>0</v>
      </c>
      <c r="J12" s="16">
        <v>95</v>
      </c>
      <c r="K12" s="16" t="s">
        <v>29</v>
      </c>
      <c r="L12" s="23">
        <v>-0.77300000000000002</v>
      </c>
      <c r="M12" s="23">
        <v>-6.5289999999999999</v>
      </c>
      <c r="N12" s="26">
        <v>33.680163764665792</v>
      </c>
      <c r="O12" s="26">
        <v>35.036012811122959</v>
      </c>
      <c r="P12" s="23">
        <v>87.0875135</v>
      </c>
      <c r="Q12" s="27">
        <v>5.8421701531586817e-003</v>
      </c>
      <c r="R12" s="28">
        <v>2.4293362456754015e-002</v>
      </c>
    </row>
    <row r="13" s="3" customFormat="1">
      <c r="A13" s="16" t="s">
        <v>41</v>
      </c>
      <c r="B13" s="26">
        <v>604.5</v>
      </c>
      <c r="C13" s="24">
        <f t="shared" si="0"/>
        <v>512.03541416566611</v>
      </c>
      <c r="D13" s="20">
        <v>6.9027611044417767e-003</v>
      </c>
      <c r="E13" s="20" t="s">
        <v>27</v>
      </c>
      <c r="F13" s="25" t="s">
        <v>31</v>
      </c>
      <c r="G13" s="16"/>
      <c r="H13" s="21" t="s">
        <v>32</v>
      </c>
      <c r="I13" s="16">
        <v>0</v>
      </c>
      <c r="J13" s="16">
        <v>95</v>
      </c>
      <c r="K13" s="16" t="s">
        <v>29</v>
      </c>
      <c r="L13" s="26">
        <v>-0.70999999999999996</v>
      </c>
      <c r="M13" s="26">
        <v>-7.1550000000000002</v>
      </c>
      <c r="N13" s="26"/>
      <c r="O13" s="26"/>
      <c r="P13" s="26"/>
      <c r="Q13" s="20"/>
      <c r="R13" s="24"/>
    </row>
    <row r="14" s="3" customFormat="1">
      <c r="A14" s="16" t="s">
        <v>42</v>
      </c>
      <c r="B14" s="26">
        <v>603</v>
      </c>
      <c r="C14" s="24">
        <f t="shared" si="0"/>
        <v>512.04576830732276</v>
      </c>
      <c r="D14" s="20">
        <v>6.9027611044417767e-003</v>
      </c>
      <c r="E14" s="20" t="s">
        <v>27</v>
      </c>
      <c r="F14" s="25" t="s">
        <v>31</v>
      </c>
      <c r="G14" s="16"/>
      <c r="H14" s="21" t="s">
        <v>32</v>
      </c>
      <c r="I14" s="16">
        <v>0</v>
      </c>
      <c r="J14" s="16">
        <v>95</v>
      </c>
      <c r="K14" s="16" t="s">
        <v>29</v>
      </c>
      <c r="L14" s="26">
        <v>-0.76200000000000001</v>
      </c>
      <c r="M14" s="26">
        <v>-7.4080000000000004</v>
      </c>
      <c r="N14" s="26"/>
      <c r="O14" s="26"/>
      <c r="P14" s="26"/>
      <c r="Q14" s="20"/>
      <c r="R14" s="24"/>
    </row>
    <row r="15" s="3" customFormat="1">
      <c r="A15" s="16" t="s">
        <v>43</v>
      </c>
      <c r="B15" s="26">
        <v>601</v>
      </c>
      <c r="C15" s="24">
        <f t="shared" si="0"/>
        <v>512.05957382953159</v>
      </c>
      <c r="D15" s="20">
        <v>6.9027611044417767e-003</v>
      </c>
      <c r="E15" s="20" t="s">
        <v>27</v>
      </c>
      <c r="F15" s="25" t="s">
        <v>31</v>
      </c>
      <c r="G15" s="16"/>
      <c r="H15" s="21" t="s">
        <v>32</v>
      </c>
      <c r="I15" s="16">
        <v>0</v>
      </c>
      <c r="J15" s="16">
        <v>95</v>
      </c>
      <c r="K15" s="16" t="s">
        <v>29</v>
      </c>
      <c r="L15" s="26">
        <v>-0.81899999999999995</v>
      </c>
      <c r="M15" s="26">
        <v>-6.9530000000000003</v>
      </c>
      <c r="N15" s="26"/>
      <c r="O15" s="26"/>
      <c r="P15" s="26"/>
      <c r="Q15" s="20"/>
      <c r="R15" s="24"/>
    </row>
    <row r="16" s="3" customFormat="1">
      <c r="A16" s="16" t="s">
        <v>44</v>
      </c>
      <c r="B16" s="26">
        <v>600</v>
      </c>
      <c r="C16" s="24">
        <f t="shared" si="0"/>
        <v>512.06647659063606</v>
      </c>
      <c r="D16" s="20">
        <v>6.9027611044417767e-003</v>
      </c>
      <c r="E16" s="20" t="s">
        <v>27</v>
      </c>
      <c r="F16" s="25" t="s">
        <v>31</v>
      </c>
      <c r="G16" s="16"/>
      <c r="H16" s="21" t="s">
        <v>32</v>
      </c>
      <c r="I16" s="16">
        <v>0</v>
      </c>
      <c r="J16" s="16">
        <v>95</v>
      </c>
      <c r="K16" s="16" t="s">
        <v>29</v>
      </c>
      <c r="L16" s="26">
        <v>-0.85799999999999998</v>
      </c>
      <c r="M16" s="26">
        <v>-6.7169999999999996</v>
      </c>
      <c r="N16" s="26">
        <v>33.482539846172436</v>
      </c>
      <c r="O16" s="26">
        <v>37.301233840090447</v>
      </c>
      <c r="P16" s="23">
        <v>88.096476999999993</v>
      </c>
      <c r="Q16" s="27">
        <v>4.6247704351948917e-003</v>
      </c>
      <c r="R16" s="28">
        <v>4.4183829674557924e-002</v>
      </c>
    </row>
    <row r="17" s="3" customFormat="1">
      <c r="A17" s="16" t="s">
        <v>45</v>
      </c>
      <c r="B17" s="26">
        <v>598.5</v>
      </c>
      <c r="C17" s="24">
        <f t="shared" si="0"/>
        <v>512.07683073229271</v>
      </c>
      <c r="D17" s="20">
        <v>6.9027611044417767e-003</v>
      </c>
      <c r="E17" s="20" t="s">
        <v>27</v>
      </c>
      <c r="F17" s="25" t="s">
        <v>31</v>
      </c>
      <c r="G17" s="21"/>
      <c r="H17" s="21" t="s">
        <v>32</v>
      </c>
      <c r="I17" s="16">
        <v>0</v>
      </c>
      <c r="J17" s="16">
        <v>95</v>
      </c>
      <c r="K17" s="16" t="s">
        <v>29</v>
      </c>
      <c r="L17" s="26">
        <v>-0.41099999999999998</v>
      </c>
      <c r="M17" s="26">
        <v>-4.1890000000000001</v>
      </c>
      <c r="N17" s="26"/>
      <c r="O17" s="26"/>
      <c r="P17" s="26"/>
      <c r="Q17" s="20"/>
      <c r="R17" s="24"/>
    </row>
    <row r="18" s="3" customFormat="1">
      <c r="A18" s="16" t="s">
        <v>46</v>
      </c>
      <c r="B18" s="26">
        <v>597</v>
      </c>
      <c r="C18" s="24">
        <f t="shared" si="0"/>
        <v>512.08718487394935</v>
      </c>
      <c r="D18" s="20">
        <v>6.9027611044417767e-003</v>
      </c>
      <c r="E18" s="20" t="s">
        <v>27</v>
      </c>
      <c r="F18" s="25" t="s">
        <v>31</v>
      </c>
      <c r="G18" s="16"/>
      <c r="H18" s="21" t="s">
        <v>32</v>
      </c>
      <c r="I18" s="16">
        <v>0</v>
      </c>
      <c r="J18" s="16">
        <v>95</v>
      </c>
      <c r="K18" s="16" t="s">
        <v>29</v>
      </c>
      <c r="L18" s="26">
        <v>-0.443</v>
      </c>
      <c r="M18" s="26">
        <v>-4.1639999999999997</v>
      </c>
      <c r="N18" s="26"/>
      <c r="O18" s="26"/>
      <c r="P18" s="26"/>
      <c r="Q18" s="20"/>
      <c r="R18" s="24"/>
    </row>
    <row r="19" s="3" customFormat="1">
      <c r="A19" s="16" t="s">
        <v>47</v>
      </c>
      <c r="B19" s="26">
        <v>596.5</v>
      </c>
      <c r="C19" s="24">
        <f t="shared" si="0"/>
        <v>512.09063625450153</v>
      </c>
      <c r="D19" s="20">
        <v>6.9027611044417767e-003</v>
      </c>
      <c r="E19" s="20" t="s">
        <v>27</v>
      </c>
      <c r="F19" s="25" t="s">
        <v>31</v>
      </c>
      <c r="G19" s="16"/>
      <c r="H19" s="21" t="s">
        <v>32</v>
      </c>
      <c r="I19" s="16">
        <v>0</v>
      </c>
      <c r="J19" s="16">
        <v>95</v>
      </c>
      <c r="K19" s="16" t="s">
        <v>29</v>
      </c>
      <c r="L19" s="26">
        <v>-0.66200000000000003</v>
      </c>
      <c r="M19" s="26">
        <v>-6.3319999999999999</v>
      </c>
      <c r="N19" s="26">
        <v>30.409043772367447</v>
      </c>
      <c r="O19" s="26">
        <v>38.43413538897407</v>
      </c>
      <c r="P19" s="23">
        <v>90.082340000000002</v>
      </c>
      <c r="Q19" s="27">
        <v>0.12979558639778827</v>
      </c>
      <c r="R19" s="28">
        <v>0.19698605488079174</v>
      </c>
    </row>
    <row r="20" s="3" customFormat="1">
      <c r="A20" s="16" t="s">
        <v>48</v>
      </c>
      <c r="B20" s="26">
        <v>592.5</v>
      </c>
      <c r="C20" s="24">
        <f t="shared" si="0"/>
        <v>512.1182472989193</v>
      </c>
      <c r="D20" s="20">
        <v>6.9027611044417767e-003</v>
      </c>
      <c r="E20" s="20" t="s">
        <v>27</v>
      </c>
      <c r="F20" s="25" t="s">
        <v>31</v>
      </c>
      <c r="G20" s="16"/>
      <c r="H20" s="21" t="s">
        <v>32</v>
      </c>
      <c r="I20" s="16">
        <v>0</v>
      </c>
      <c r="J20" s="16">
        <v>95</v>
      </c>
      <c r="K20" s="16" t="s">
        <v>29</v>
      </c>
      <c r="L20" s="26">
        <v>-4.8000000000000001e-002</v>
      </c>
      <c r="M20" s="26">
        <v>-4.2969999999999997</v>
      </c>
      <c r="N20" s="26"/>
      <c r="O20" s="26"/>
      <c r="P20" s="29"/>
      <c r="Q20" s="30"/>
      <c r="R20" s="31"/>
    </row>
    <row r="21" s="3" customFormat="1">
      <c r="A21" s="16" t="s">
        <v>49</v>
      </c>
      <c r="B21" s="26">
        <v>589.10000000000002</v>
      </c>
      <c r="C21" s="24">
        <f t="shared" si="0"/>
        <v>512.14171668667439</v>
      </c>
      <c r="D21" s="20">
        <v>6.9027611044417767e-003</v>
      </c>
      <c r="E21" s="20" t="s">
        <v>27</v>
      </c>
      <c r="F21" s="25" t="s">
        <v>31</v>
      </c>
      <c r="G21" s="16"/>
      <c r="H21" s="21" t="s">
        <v>32</v>
      </c>
      <c r="I21" s="16">
        <v>0</v>
      </c>
      <c r="J21" s="16">
        <v>95</v>
      </c>
      <c r="K21" s="16" t="s">
        <v>29</v>
      </c>
      <c r="L21" s="26">
        <v>-0.27000000000000002</v>
      </c>
      <c r="M21" s="26">
        <v>-4.1150000000000002</v>
      </c>
      <c r="N21" s="26"/>
      <c r="O21" s="26"/>
      <c r="P21" s="29"/>
      <c r="Q21" s="30"/>
      <c r="R21" s="31"/>
    </row>
    <row r="22" s="3" customFormat="1">
      <c r="A22" s="16" t="s">
        <v>50</v>
      </c>
      <c r="B22" s="26">
        <v>588.20000000000005</v>
      </c>
      <c r="C22" s="24">
        <f t="shared" si="0"/>
        <v>512.14792917166835</v>
      </c>
      <c r="D22" s="20">
        <v>6.9027611044417767e-003</v>
      </c>
      <c r="E22" s="20" t="s">
        <v>27</v>
      </c>
      <c r="F22" s="25" t="s">
        <v>31</v>
      </c>
      <c r="G22" s="16"/>
      <c r="H22" s="21" t="s">
        <v>32</v>
      </c>
      <c r="I22" s="16">
        <v>0</v>
      </c>
      <c r="J22" s="16">
        <v>95</v>
      </c>
      <c r="K22" s="16" t="s">
        <v>29</v>
      </c>
      <c r="L22" s="26">
        <v>-1.1459999999999999</v>
      </c>
      <c r="M22" s="26">
        <v>-7.1980000000000004</v>
      </c>
      <c r="N22" s="26"/>
      <c r="O22" s="26"/>
      <c r="P22" s="26"/>
      <c r="Q22" s="20"/>
      <c r="R22" s="24"/>
    </row>
    <row r="23" s="3" customFormat="1">
      <c r="A23" s="16" t="s">
        <v>51</v>
      </c>
      <c r="B23" s="26">
        <v>584.70000000000005</v>
      </c>
      <c r="C23" s="24">
        <f t="shared" si="0"/>
        <v>512.17208883553394</v>
      </c>
      <c r="D23" s="20">
        <v>6.9027611044417767e-003</v>
      </c>
      <c r="E23" s="20" t="s">
        <v>27</v>
      </c>
      <c r="F23" s="25" t="s">
        <v>31</v>
      </c>
      <c r="G23" s="16"/>
      <c r="H23" s="21" t="s">
        <v>32</v>
      </c>
      <c r="I23" s="16">
        <v>0</v>
      </c>
      <c r="J23" s="16">
        <v>95</v>
      </c>
      <c r="K23" s="16" t="s">
        <v>29</v>
      </c>
      <c r="L23" s="26">
        <v>-0.92000000000000004</v>
      </c>
      <c r="M23" s="26">
        <v>-6.3529999999999998</v>
      </c>
      <c r="N23" s="26"/>
      <c r="O23" s="26"/>
      <c r="P23" s="26"/>
      <c r="Q23" s="20"/>
      <c r="R23" s="24"/>
    </row>
    <row r="24" s="3" customFormat="1">
      <c r="A24" s="16" t="s">
        <v>52</v>
      </c>
      <c r="B24" s="26">
        <v>582.70000000000005</v>
      </c>
      <c r="C24" s="24">
        <f t="shared" si="0"/>
        <v>512.18589435774277</v>
      </c>
      <c r="D24" s="20">
        <v>6.9027611044417767e-003</v>
      </c>
      <c r="E24" s="20" t="s">
        <v>27</v>
      </c>
      <c r="F24" s="25" t="s">
        <v>31</v>
      </c>
      <c r="G24" s="16"/>
      <c r="H24" s="21" t="s">
        <v>32</v>
      </c>
      <c r="I24" s="16">
        <v>0</v>
      </c>
      <c r="J24" s="16">
        <v>95</v>
      </c>
      <c r="K24" s="16" t="s">
        <v>29</v>
      </c>
      <c r="L24" s="26">
        <v>-0.97199999999999998</v>
      </c>
      <c r="M24" s="26">
        <v>-6.9580000000000002</v>
      </c>
      <c r="N24" s="26">
        <v>30.162221336422775</v>
      </c>
      <c r="O24" s="26">
        <v>42.618781785215205</v>
      </c>
      <c r="P24" s="23">
        <v>87.495322499999986</v>
      </c>
      <c r="Q24" s="27">
        <v>8.8439142495971949e-003</v>
      </c>
      <c r="R24" s="28">
        <v>5.7605567824399392e-002</v>
      </c>
    </row>
    <row r="25" s="3" customFormat="1">
      <c r="A25" s="16" t="s">
        <v>53</v>
      </c>
      <c r="B25" s="26">
        <v>581.40000000000009</v>
      </c>
      <c r="C25" s="24">
        <f t="shared" si="0"/>
        <v>512.19486794717852</v>
      </c>
      <c r="D25" s="20">
        <v>6.9027611044417767e-003</v>
      </c>
      <c r="E25" s="20" t="s">
        <v>27</v>
      </c>
      <c r="F25" s="25" t="s">
        <v>31</v>
      </c>
      <c r="G25" s="16"/>
      <c r="H25" s="21" t="s">
        <v>32</v>
      </c>
      <c r="I25" s="16">
        <v>0</v>
      </c>
      <c r="J25" s="16">
        <v>95</v>
      </c>
      <c r="K25" s="16" t="s">
        <v>29</v>
      </c>
      <c r="L25" s="26">
        <v>-1.081</v>
      </c>
      <c r="M25" s="26">
        <v>-6.5490000000000004</v>
      </c>
      <c r="N25" s="26">
        <v>32.512841250228881</v>
      </c>
      <c r="O25" s="26">
        <v>71.684290204549512</v>
      </c>
      <c r="P25" s="23">
        <v>88.337722499999984</v>
      </c>
      <c r="Q25" s="27">
        <v>4.3745728929384968e-003</v>
      </c>
      <c r="R25" s="28">
        <v>3.1769792247653819e-002</v>
      </c>
    </row>
    <row r="26" s="3" customFormat="1">
      <c r="A26" s="16" t="s">
        <v>54</v>
      </c>
      <c r="B26" s="26">
        <v>580.20000000000005</v>
      </c>
      <c r="C26" s="24">
        <f t="shared" si="0"/>
        <v>512.20315126050389</v>
      </c>
      <c r="D26" s="20">
        <v>6.9027611044417767e-003</v>
      </c>
      <c r="E26" s="20" t="s">
        <v>27</v>
      </c>
      <c r="F26" s="25" t="s">
        <v>31</v>
      </c>
      <c r="G26" s="16"/>
      <c r="H26" s="21" t="s">
        <v>32</v>
      </c>
      <c r="I26" s="16">
        <v>0</v>
      </c>
      <c r="J26" s="16">
        <v>95</v>
      </c>
      <c r="K26" s="16" t="s">
        <v>29</v>
      </c>
      <c r="L26" s="26">
        <v>-1.3819999999999999</v>
      </c>
      <c r="M26" s="26">
        <v>-6.915</v>
      </c>
      <c r="N26" s="26">
        <v>28.078633414706136</v>
      </c>
      <c r="O26" s="26">
        <v>59.962675290658829</v>
      </c>
      <c r="P26" s="23">
        <v>87.170106499999989</v>
      </c>
      <c r="Q26" s="27">
        <v>3.9931418749387156e-003</v>
      </c>
      <c r="R26" s="28">
        <v>0.11169778337507813</v>
      </c>
    </row>
    <row r="27" s="3" customFormat="1">
      <c r="A27" s="16" t="s">
        <v>55</v>
      </c>
      <c r="B27" s="26">
        <v>578.70000000000005</v>
      </c>
      <c r="C27" s="24">
        <f t="shared" si="0"/>
        <v>512.21350540216054</v>
      </c>
      <c r="D27" s="20">
        <v>6.9027611044417767e-003</v>
      </c>
      <c r="E27" s="20" t="s">
        <v>27</v>
      </c>
      <c r="F27" s="25" t="s">
        <v>31</v>
      </c>
      <c r="G27" s="16"/>
      <c r="H27" s="21" t="s">
        <v>32</v>
      </c>
      <c r="I27" s="16">
        <v>0</v>
      </c>
      <c r="J27" s="16">
        <v>95</v>
      </c>
      <c r="K27" s="16" t="s">
        <v>29</v>
      </c>
      <c r="L27" s="26">
        <v>-0.96499999999999997</v>
      </c>
      <c r="M27" s="26">
        <v>-4.0810000000000004</v>
      </c>
      <c r="N27" s="26"/>
      <c r="O27" s="26"/>
      <c r="P27" s="26"/>
      <c r="Q27" s="20"/>
      <c r="R27" s="24"/>
    </row>
    <row r="28" s="3" customFormat="1">
      <c r="A28" s="22" t="s">
        <v>56</v>
      </c>
      <c r="B28" s="23">
        <v>575.70000000000005</v>
      </c>
      <c r="C28" s="24">
        <f t="shared" si="0"/>
        <v>512.23421368547383</v>
      </c>
      <c r="D28" s="20">
        <v>6.9027611044417767e-003</v>
      </c>
      <c r="E28" s="20" t="s">
        <v>27</v>
      </c>
      <c r="F28" s="25" t="s">
        <v>31</v>
      </c>
      <c r="G28" s="22"/>
      <c r="H28" s="21" t="s">
        <v>32</v>
      </c>
      <c r="I28" s="16">
        <v>0</v>
      </c>
      <c r="J28" s="16">
        <v>95</v>
      </c>
      <c r="K28" s="16" t="s">
        <v>29</v>
      </c>
      <c r="L28" s="23">
        <v>-0.85799999999999998</v>
      </c>
      <c r="M28" s="23">
        <v>-4.431</v>
      </c>
      <c r="N28" s="26">
        <v>25.376348955788096</v>
      </c>
      <c r="O28" s="26">
        <v>40.983609118941196</v>
      </c>
      <c r="P28" s="23">
        <v>95.273500000000013</v>
      </c>
      <c r="Q28" s="27">
        <v>0.53945071596682004</v>
      </c>
      <c r="R28" s="28">
        <v>1.2287509534952876</v>
      </c>
    </row>
    <row r="29" s="3" customFormat="1">
      <c r="A29" s="22" t="s">
        <v>57</v>
      </c>
      <c r="B29" s="23">
        <v>574.70000000000005</v>
      </c>
      <c r="C29" s="24">
        <f t="shared" si="0"/>
        <v>512.2411164465783</v>
      </c>
      <c r="D29" s="20">
        <v>6.9027611044417767e-003</v>
      </c>
      <c r="E29" s="20" t="s">
        <v>27</v>
      </c>
      <c r="F29" s="25" t="s">
        <v>31</v>
      </c>
      <c r="G29" s="22"/>
      <c r="H29" s="21" t="s">
        <v>32</v>
      </c>
      <c r="I29" s="16">
        <v>0</v>
      </c>
      <c r="J29" s="16">
        <v>95</v>
      </c>
      <c r="K29" s="16" t="s">
        <v>29</v>
      </c>
      <c r="L29" s="23">
        <v>-1.2350000000000001</v>
      </c>
      <c r="M29" s="23">
        <v>-5.0810000000000004</v>
      </c>
      <c r="N29" s="26"/>
      <c r="O29" s="26"/>
      <c r="P29" s="26"/>
      <c r="Q29" s="20"/>
      <c r="R29" s="24"/>
    </row>
    <row r="30" s="3" customFormat="1">
      <c r="A30" s="22" t="s">
        <v>58</v>
      </c>
      <c r="B30" s="23">
        <v>574.20000000000005</v>
      </c>
      <c r="C30" s="24">
        <f t="shared" si="0"/>
        <v>512.24456782713048</v>
      </c>
      <c r="D30" s="20">
        <v>6.9027611044417767e-003</v>
      </c>
      <c r="E30" s="20" t="s">
        <v>59</v>
      </c>
      <c r="F30" s="25" t="s">
        <v>60</v>
      </c>
      <c r="G30" s="22"/>
      <c r="H30" s="21" t="s">
        <v>61</v>
      </c>
      <c r="I30" s="16">
        <v>3</v>
      </c>
      <c r="J30" s="16">
        <v>89</v>
      </c>
      <c r="K30" s="16" t="s">
        <v>29</v>
      </c>
      <c r="L30" s="23">
        <v>-1.5900000000000001</v>
      </c>
      <c r="M30" s="23">
        <v>-4.4850000000000003</v>
      </c>
      <c r="N30" s="26">
        <v>24.34288277561706</v>
      </c>
      <c r="O30" s="26">
        <v>171.14898958528218</v>
      </c>
      <c r="P30" s="23">
        <v>94.606499999999997</v>
      </c>
      <c r="Q30" s="27">
        <v>0.5749034196594649</v>
      </c>
      <c r="R30" s="28">
        <v>3.3137163303846533</v>
      </c>
    </row>
    <row r="31" s="3" customFormat="1">
      <c r="A31" s="22" t="s">
        <v>62</v>
      </c>
      <c r="B31" s="23">
        <v>573.70000000000005</v>
      </c>
      <c r="C31" s="24">
        <f t="shared" si="0"/>
        <v>512.24801920768266</v>
      </c>
      <c r="D31" s="20">
        <v>6.9027611044417767e-003</v>
      </c>
      <c r="E31" s="20" t="s">
        <v>59</v>
      </c>
      <c r="F31" s="25" t="s">
        <v>60</v>
      </c>
      <c r="G31" s="22"/>
      <c r="H31" s="21" t="s">
        <v>61</v>
      </c>
      <c r="I31" s="16">
        <v>3</v>
      </c>
      <c r="J31" s="16">
        <v>89</v>
      </c>
      <c r="K31" s="16" t="s">
        <v>29</v>
      </c>
      <c r="L31" s="23">
        <v>-1.617</v>
      </c>
      <c r="M31" s="23">
        <v>-4.6849999999999996</v>
      </c>
      <c r="N31" s="26"/>
      <c r="O31" s="26"/>
      <c r="P31" s="26"/>
      <c r="Q31" s="20"/>
      <c r="R31" s="24"/>
    </row>
    <row r="32" s="3" customFormat="1">
      <c r="A32" s="22" t="s">
        <v>63</v>
      </c>
      <c r="B32" s="23">
        <v>571.70000000000005</v>
      </c>
      <c r="C32" s="24">
        <f t="shared" si="0"/>
        <v>512.26182472989149</v>
      </c>
      <c r="D32" s="20">
        <v>6.9027611044417767e-003</v>
      </c>
      <c r="E32" s="20" t="s">
        <v>59</v>
      </c>
      <c r="F32" s="25" t="s">
        <v>60</v>
      </c>
      <c r="G32" s="22"/>
      <c r="H32" s="21" t="s">
        <v>61</v>
      </c>
      <c r="I32" s="16">
        <v>3</v>
      </c>
      <c r="J32" s="16">
        <v>89</v>
      </c>
      <c r="K32" s="16" t="s">
        <v>29</v>
      </c>
      <c r="L32" s="23">
        <v>-1.9750000000000001</v>
      </c>
      <c r="M32" s="23">
        <v>-6.8819999999999997</v>
      </c>
      <c r="N32" s="26"/>
      <c r="O32" s="26"/>
      <c r="P32" s="26"/>
      <c r="Q32" s="20"/>
      <c r="R32" s="24"/>
    </row>
    <row r="33" s="3" customFormat="1">
      <c r="A33" s="22" t="s">
        <v>64</v>
      </c>
      <c r="B33" s="23">
        <v>569.70000000000005</v>
      </c>
      <c r="C33" s="24">
        <f t="shared" si="0"/>
        <v>512.27563025210031</v>
      </c>
      <c r="D33" s="20">
        <v>6.9027611044417767e-003</v>
      </c>
      <c r="E33" s="20" t="s">
        <v>59</v>
      </c>
      <c r="F33" s="25" t="s">
        <v>60</v>
      </c>
      <c r="G33" s="22"/>
      <c r="H33" s="21" t="s">
        <v>61</v>
      </c>
      <c r="I33" s="16">
        <v>3</v>
      </c>
      <c r="J33" s="16">
        <v>89</v>
      </c>
      <c r="K33" s="16" t="s">
        <v>29</v>
      </c>
      <c r="L33" s="23">
        <v>-1.913</v>
      </c>
      <c r="M33" s="23">
        <v>-6.9870000000000001</v>
      </c>
      <c r="N33" s="26"/>
      <c r="O33" s="26"/>
      <c r="P33" s="26"/>
      <c r="Q33" s="20"/>
      <c r="R33" s="24"/>
    </row>
    <row r="34" s="3" customFormat="1">
      <c r="A34" s="22" t="s">
        <v>65</v>
      </c>
      <c r="B34" s="23">
        <v>567.70000000000005</v>
      </c>
      <c r="C34" s="24">
        <f t="shared" si="0"/>
        <v>512.28943577430914</v>
      </c>
      <c r="D34" s="20">
        <v>6.9027611044417767e-003</v>
      </c>
      <c r="E34" s="20" t="s">
        <v>59</v>
      </c>
      <c r="F34" s="25" t="s">
        <v>60</v>
      </c>
      <c r="G34" s="22"/>
      <c r="H34" s="21" t="s">
        <v>61</v>
      </c>
      <c r="I34" s="16">
        <v>3</v>
      </c>
      <c r="J34" s="16">
        <v>89</v>
      </c>
      <c r="K34" s="16" t="s">
        <v>29</v>
      </c>
      <c r="L34" s="23">
        <v>-2.1150000000000002</v>
      </c>
      <c r="M34" s="23">
        <v>-6.8470000000000004</v>
      </c>
      <c r="N34" s="26"/>
      <c r="O34" s="26"/>
      <c r="P34" s="26"/>
      <c r="Q34" s="20"/>
      <c r="R34" s="24"/>
    </row>
    <row r="35" s="3" customFormat="1">
      <c r="A35" s="22" t="s">
        <v>66</v>
      </c>
      <c r="B35" s="23">
        <v>566.70000000000005</v>
      </c>
      <c r="C35" s="24">
        <f t="shared" si="0"/>
        <v>512.29633853541361</v>
      </c>
      <c r="D35" s="20">
        <v>6.9027611044417767e-003</v>
      </c>
      <c r="E35" s="20" t="s">
        <v>59</v>
      </c>
      <c r="F35" s="25" t="s">
        <v>60</v>
      </c>
      <c r="G35" s="22"/>
      <c r="H35" s="21" t="s">
        <v>61</v>
      </c>
      <c r="I35" s="16">
        <v>3</v>
      </c>
      <c r="J35" s="16">
        <v>89</v>
      </c>
      <c r="K35" s="16" t="s">
        <v>29</v>
      </c>
      <c r="L35" s="23">
        <v>-2.0209999999999999</v>
      </c>
      <c r="M35" s="23">
        <v>-7.109</v>
      </c>
      <c r="N35" s="26">
        <v>26.666507642211755</v>
      </c>
      <c r="O35" s="26">
        <v>76.70174859558206</v>
      </c>
      <c r="P35" s="23">
        <v>88.033005000000003</v>
      </c>
      <c r="Q35" s="27">
        <v>3.1099751066856331e-002</v>
      </c>
      <c r="R35" s="28">
        <v>5.6746644737439914e-002</v>
      </c>
    </row>
    <row r="36" s="3" customFormat="1">
      <c r="A36" s="22" t="s">
        <v>67</v>
      </c>
      <c r="B36" s="23">
        <v>565.90000000000009</v>
      </c>
      <c r="C36" s="24">
        <f t="shared" si="0"/>
        <v>512.30186074429719</v>
      </c>
      <c r="D36" s="20">
        <v>6.9027611044417767e-003</v>
      </c>
      <c r="E36" s="20" t="s">
        <v>59</v>
      </c>
      <c r="F36" s="25" t="s">
        <v>60</v>
      </c>
      <c r="G36" s="32"/>
      <c r="H36" s="21" t="s">
        <v>61</v>
      </c>
      <c r="I36" s="16">
        <v>3</v>
      </c>
      <c r="J36" s="16">
        <v>89</v>
      </c>
      <c r="K36" s="16" t="s">
        <v>29</v>
      </c>
      <c r="L36" s="23">
        <v>-1.629</v>
      </c>
      <c r="M36" s="23">
        <v>-7.2430000000000003</v>
      </c>
      <c r="N36" s="26"/>
      <c r="O36" s="26"/>
      <c r="P36" s="26"/>
      <c r="Q36" s="20"/>
      <c r="R36" s="24"/>
    </row>
    <row r="37" s="3" customFormat="1">
      <c r="A37" s="22" t="s">
        <v>68</v>
      </c>
      <c r="B37" s="23">
        <v>564.70000000000005</v>
      </c>
      <c r="C37" s="24">
        <f t="shared" si="0"/>
        <v>512.31014405762255</v>
      </c>
      <c r="D37" s="20">
        <v>6.9027611044417767e-003</v>
      </c>
      <c r="E37" s="20" t="s">
        <v>59</v>
      </c>
      <c r="F37" s="25" t="s">
        <v>60</v>
      </c>
      <c r="G37" s="22"/>
      <c r="H37" s="21" t="s">
        <v>61</v>
      </c>
      <c r="I37" s="16">
        <v>3</v>
      </c>
      <c r="J37" s="16">
        <v>89</v>
      </c>
      <c r="K37" s="16" t="s">
        <v>29</v>
      </c>
      <c r="L37" s="23">
        <v>-1.9990000000000001</v>
      </c>
      <c r="M37" s="23">
        <v>-9.3819999999999997</v>
      </c>
      <c r="N37" s="26"/>
      <c r="O37" s="26"/>
      <c r="P37" s="26"/>
      <c r="Q37" s="20"/>
      <c r="R37" s="24"/>
    </row>
    <row r="38" s="3" customFormat="1">
      <c r="A38" s="22" t="s">
        <v>69</v>
      </c>
      <c r="B38" s="23">
        <v>563.70000000000005</v>
      </c>
      <c r="C38" s="24">
        <f t="shared" si="0"/>
        <v>512.31704681872702</v>
      </c>
      <c r="D38" s="20">
        <v>6.9027611044417767e-003</v>
      </c>
      <c r="E38" s="20" t="s">
        <v>59</v>
      </c>
      <c r="F38" s="25" t="s">
        <v>60</v>
      </c>
      <c r="G38" s="22"/>
      <c r="H38" s="21" t="s">
        <v>61</v>
      </c>
      <c r="I38" s="16">
        <v>3</v>
      </c>
      <c r="J38" s="16">
        <v>89</v>
      </c>
      <c r="K38" s="16" t="s">
        <v>29</v>
      </c>
      <c r="L38" s="23">
        <v>-2.4100000000000001</v>
      </c>
      <c r="M38" s="23">
        <v>-10.645</v>
      </c>
      <c r="N38" s="26"/>
      <c r="O38" s="26"/>
      <c r="P38" s="26"/>
      <c r="Q38" s="20"/>
      <c r="R38" s="24"/>
    </row>
    <row r="39" s="3" customFormat="1">
      <c r="A39" s="22" t="s">
        <v>70</v>
      </c>
      <c r="B39" s="23">
        <v>562.70000000000005</v>
      </c>
      <c r="C39" s="24">
        <f t="shared" si="0"/>
        <v>512.32394957983149</v>
      </c>
      <c r="D39" s="20">
        <v>6.9027611044417767e-003</v>
      </c>
      <c r="E39" s="20" t="s">
        <v>59</v>
      </c>
      <c r="F39" s="25" t="s">
        <v>60</v>
      </c>
      <c r="G39" s="22"/>
      <c r="H39" s="21" t="s">
        <v>61</v>
      </c>
      <c r="I39" s="16">
        <v>3</v>
      </c>
      <c r="J39" s="16">
        <v>89</v>
      </c>
      <c r="K39" s="16" t="s">
        <v>29</v>
      </c>
      <c r="L39" s="23">
        <v>-2.1440000000000001</v>
      </c>
      <c r="M39" s="23">
        <v>-9.8620000000000001</v>
      </c>
      <c r="N39" s="26"/>
      <c r="O39" s="26"/>
      <c r="P39" s="26"/>
      <c r="Q39" s="20"/>
      <c r="R39" s="24"/>
    </row>
    <row r="40" s="3" customFormat="1">
      <c r="A40" s="22" t="s">
        <v>71</v>
      </c>
      <c r="B40" s="23">
        <v>561.70000000000005</v>
      </c>
      <c r="C40" s="24">
        <f t="shared" si="0"/>
        <v>512.33085234093596</v>
      </c>
      <c r="D40" s="20">
        <v>6.9027611044417767e-003</v>
      </c>
      <c r="E40" s="20" t="s">
        <v>59</v>
      </c>
      <c r="F40" s="25" t="s">
        <v>60</v>
      </c>
      <c r="G40" s="22"/>
      <c r="H40" s="21" t="s">
        <v>61</v>
      </c>
      <c r="I40" s="16">
        <v>3</v>
      </c>
      <c r="J40" s="16">
        <v>89</v>
      </c>
      <c r="K40" s="16" t="s">
        <v>29</v>
      </c>
      <c r="L40" s="23">
        <v>-1.919</v>
      </c>
      <c r="M40" s="23">
        <v>-6.2270000000000003</v>
      </c>
      <c r="N40" s="26">
        <v>28.870000000000001</v>
      </c>
      <c r="O40" s="26">
        <v>213.47384587556706</v>
      </c>
      <c r="P40" s="23">
        <v>86.981268</v>
      </c>
      <c r="Q40" s="27">
        <v>2.4884537137282427e-002</v>
      </c>
      <c r="R40" s="28">
        <v>3.9672227916088265e-002</v>
      </c>
    </row>
    <row r="41" s="3" customFormat="1">
      <c r="A41" s="22" t="s">
        <v>72</v>
      </c>
      <c r="B41" s="23">
        <v>560.70000000000005</v>
      </c>
      <c r="C41" s="24">
        <f t="shared" si="0"/>
        <v>512.33775510204043</v>
      </c>
      <c r="D41" s="20">
        <v>6.9027611044417767e-003</v>
      </c>
      <c r="E41" s="20" t="s">
        <v>59</v>
      </c>
      <c r="F41" s="25" t="s">
        <v>60</v>
      </c>
      <c r="G41" s="22"/>
      <c r="H41" s="21" t="s">
        <v>61</v>
      </c>
      <c r="I41" s="16">
        <v>3</v>
      </c>
      <c r="J41" s="16">
        <v>89</v>
      </c>
      <c r="K41" s="16" t="s">
        <v>29</v>
      </c>
      <c r="L41" s="23">
        <v>-1.9410000000000001</v>
      </c>
      <c r="M41" s="23">
        <v>-6.6479999999999997</v>
      </c>
      <c r="N41" s="26"/>
      <c r="O41" s="26"/>
      <c r="P41" s="26"/>
      <c r="Q41" s="20"/>
      <c r="R41" s="24"/>
    </row>
    <row r="42" s="3" customFormat="1">
      <c r="A42" s="22" t="s">
        <v>73</v>
      </c>
      <c r="B42" s="23">
        <v>559.70000000000005</v>
      </c>
      <c r="C42" s="24">
        <f t="shared" si="0"/>
        <v>512.3446578631449</v>
      </c>
      <c r="D42" s="20">
        <v>6.9027611044417767e-003</v>
      </c>
      <c r="E42" s="20" t="s">
        <v>59</v>
      </c>
      <c r="F42" s="25" t="s">
        <v>60</v>
      </c>
      <c r="G42" s="22"/>
      <c r="H42" s="21" t="s">
        <v>61</v>
      </c>
      <c r="I42" s="16">
        <v>3</v>
      </c>
      <c r="J42" s="16">
        <v>89</v>
      </c>
      <c r="K42" s="16" t="s">
        <v>29</v>
      </c>
      <c r="L42" s="23">
        <v>-1.881</v>
      </c>
      <c r="M42" s="23">
        <v>-6.4009999999999998</v>
      </c>
      <c r="N42" s="26"/>
      <c r="O42" s="26"/>
      <c r="P42" s="26"/>
      <c r="Q42" s="20"/>
      <c r="R42" s="24"/>
    </row>
    <row r="43" s="3" customFormat="1">
      <c r="A43" s="16" t="s">
        <v>74</v>
      </c>
      <c r="B43" s="26">
        <v>553.70000000000005</v>
      </c>
      <c r="C43" s="24">
        <f t="shared" si="0"/>
        <v>512.3860744297715</v>
      </c>
      <c r="D43" s="20">
        <v>6.9027611044417767e-003</v>
      </c>
      <c r="E43" s="20" t="s">
        <v>59</v>
      </c>
      <c r="F43" s="25" t="s">
        <v>60</v>
      </c>
      <c r="G43" s="16"/>
      <c r="H43" s="21" t="s">
        <v>61</v>
      </c>
      <c r="I43" s="16">
        <v>3</v>
      </c>
      <c r="J43" s="16">
        <v>89</v>
      </c>
      <c r="K43" s="16" t="s">
        <v>29</v>
      </c>
      <c r="L43" s="26">
        <v>-1.698</v>
      </c>
      <c r="M43" s="26">
        <v>-6.9500000000000002</v>
      </c>
      <c r="N43" s="26">
        <v>29.224715267046012</v>
      </c>
      <c r="O43" s="26">
        <v>59.490474811069895</v>
      </c>
      <c r="P43" s="23">
        <v>86.729983499999989</v>
      </c>
      <c r="Q43" s="27">
        <v>2.165902408600873e-002</v>
      </c>
      <c r="R43" s="28">
        <v>2.7167431594436464e-002</v>
      </c>
    </row>
    <row r="44" s="3" customFormat="1">
      <c r="A44" s="16" t="s">
        <v>75</v>
      </c>
      <c r="B44" s="26">
        <v>551.70000000000005</v>
      </c>
      <c r="C44" s="24">
        <f t="shared" si="0"/>
        <v>512.39987995198032</v>
      </c>
      <c r="D44" s="20">
        <v>6.9027611044417767e-003</v>
      </c>
      <c r="E44" s="20" t="s">
        <v>59</v>
      </c>
      <c r="F44" s="25" t="s">
        <v>60</v>
      </c>
      <c r="G44" s="16"/>
      <c r="H44" s="21" t="s">
        <v>61</v>
      </c>
      <c r="I44" s="16">
        <v>3</v>
      </c>
      <c r="J44" s="16">
        <v>89</v>
      </c>
      <c r="K44" s="16" t="s">
        <v>29</v>
      </c>
      <c r="L44" s="26">
        <v>-1.712</v>
      </c>
      <c r="M44" s="26">
        <v>-6.8499999999999996</v>
      </c>
      <c r="N44" s="26">
        <v>33.094729792606898</v>
      </c>
      <c r="O44" s="26">
        <v>59.768800675605441</v>
      </c>
      <c r="P44" s="23">
        <v>87.096315000000004</v>
      </c>
      <c r="Q44" s="27">
        <v>2.8400330684080308e-002</v>
      </c>
      <c r="R44" s="28">
        <v>3.8882752934230484e-002</v>
      </c>
    </row>
    <row r="45" s="3" customFormat="1">
      <c r="A45" s="16" t="s">
        <v>76</v>
      </c>
      <c r="B45" s="26">
        <v>549.70000000000005</v>
      </c>
      <c r="C45" s="24">
        <f t="shared" si="0"/>
        <v>512.41368547418915</v>
      </c>
      <c r="D45" s="20">
        <v>6.9027611044417767e-003</v>
      </c>
      <c r="E45" s="20" t="s">
        <v>59</v>
      </c>
      <c r="F45" s="25" t="s">
        <v>60</v>
      </c>
      <c r="G45" s="16"/>
      <c r="H45" s="21" t="s">
        <v>61</v>
      </c>
      <c r="I45" s="16">
        <v>3</v>
      </c>
      <c r="J45" s="16">
        <v>89</v>
      </c>
      <c r="K45" s="16" t="s">
        <v>29</v>
      </c>
      <c r="L45" s="26">
        <v>-1.7490000000000001</v>
      </c>
      <c r="M45" s="26">
        <v>-7.2539999999999996</v>
      </c>
      <c r="N45" s="26"/>
      <c r="O45" s="26"/>
      <c r="P45" s="26"/>
      <c r="Q45" s="20"/>
      <c r="R45" s="24"/>
    </row>
    <row r="46" s="3" customFormat="1">
      <c r="A46" s="16" t="s">
        <v>77</v>
      </c>
      <c r="B46" s="26">
        <v>547.70000000000005</v>
      </c>
      <c r="C46" s="24">
        <f t="shared" si="0"/>
        <v>512.42749099639798</v>
      </c>
      <c r="D46" s="20">
        <v>6.9027611044417767e-003</v>
      </c>
      <c r="E46" s="20" t="s">
        <v>59</v>
      </c>
      <c r="F46" s="25" t="s">
        <v>60</v>
      </c>
      <c r="G46" s="21"/>
      <c r="H46" s="21" t="s">
        <v>61</v>
      </c>
      <c r="I46" s="16">
        <v>3</v>
      </c>
      <c r="J46" s="16">
        <v>89</v>
      </c>
      <c r="K46" s="16" t="s">
        <v>29</v>
      </c>
      <c r="L46" s="26">
        <v>-1.7869999999999999</v>
      </c>
      <c r="M46" s="26">
        <v>-7.3220000000000001</v>
      </c>
      <c r="N46" s="26"/>
      <c r="O46" s="26"/>
      <c r="P46" s="26"/>
      <c r="Q46" s="20"/>
      <c r="R46" s="24"/>
    </row>
    <row r="47" s="3" customFormat="1">
      <c r="A47" s="16" t="s">
        <v>78</v>
      </c>
      <c r="B47" s="26">
        <v>545.70000000000005</v>
      </c>
      <c r="C47" s="24">
        <f t="shared" si="0"/>
        <v>512.4412965186068</v>
      </c>
      <c r="D47" s="20">
        <v>6.9027611044417767e-003</v>
      </c>
      <c r="E47" s="20" t="s">
        <v>59</v>
      </c>
      <c r="F47" s="25" t="s">
        <v>60</v>
      </c>
      <c r="G47" s="16"/>
      <c r="H47" s="21" t="s">
        <v>61</v>
      </c>
      <c r="I47" s="16">
        <v>3</v>
      </c>
      <c r="J47" s="16">
        <v>89</v>
      </c>
      <c r="K47" s="16" t="s">
        <v>29</v>
      </c>
      <c r="L47" s="26">
        <v>-1.7809999999999999</v>
      </c>
      <c r="M47" s="26">
        <v>-7.3570000000000002</v>
      </c>
      <c r="N47" s="26"/>
      <c r="O47" s="26"/>
      <c r="P47" s="26"/>
      <c r="Q47" s="20"/>
      <c r="R47" s="24"/>
    </row>
    <row r="48" s="3" customFormat="1">
      <c r="A48" s="16" t="s">
        <v>79</v>
      </c>
      <c r="B48" s="26">
        <v>543.70000000000005</v>
      </c>
      <c r="C48" s="24">
        <f t="shared" si="0"/>
        <v>512.45510204081563</v>
      </c>
      <c r="D48" s="20">
        <v>6.9027611044417767e-003</v>
      </c>
      <c r="E48" s="20" t="s">
        <v>59</v>
      </c>
      <c r="F48" s="25" t="s">
        <v>60</v>
      </c>
      <c r="G48" s="16"/>
      <c r="H48" s="21" t="s">
        <v>61</v>
      </c>
      <c r="I48" s="16">
        <v>3</v>
      </c>
      <c r="J48" s="16">
        <v>89</v>
      </c>
      <c r="K48" s="16" t="s">
        <v>29</v>
      </c>
      <c r="L48" s="26">
        <v>-2.3460000000000001</v>
      </c>
      <c r="M48" s="26">
        <v>-7.2489999999999997</v>
      </c>
      <c r="N48" s="26"/>
      <c r="O48" s="26"/>
      <c r="P48" s="26"/>
      <c r="Q48" s="20"/>
      <c r="R48" s="24"/>
    </row>
    <row r="49" s="3" customFormat="1">
      <c r="A49" s="16" t="s">
        <v>80</v>
      </c>
      <c r="B49" s="26">
        <v>541.70000000000005</v>
      </c>
      <c r="C49" s="24">
        <f t="shared" si="0"/>
        <v>512.46890756302446</v>
      </c>
      <c r="D49" s="20">
        <v>6.9027611044417767e-003</v>
      </c>
      <c r="E49" s="20" t="s">
        <v>59</v>
      </c>
      <c r="F49" s="25" t="s">
        <v>60</v>
      </c>
      <c r="G49" s="16"/>
      <c r="H49" s="21" t="s">
        <v>61</v>
      </c>
      <c r="I49" s="16">
        <v>3</v>
      </c>
      <c r="J49" s="16">
        <v>89</v>
      </c>
      <c r="K49" s="16" t="s">
        <v>29</v>
      </c>
      <c r="L49" s="26">
        <v>-2.0710000000000002</v>
      </c>
      <c r="M49" s="26">
        <v>-7.0880000000000001</v>
      </c>
      <c r="N49" s="26"/>
      <c r="O49" s="26"/>
      <c r="P49" s="26"/>
      <c r="Q49" s="20"/>
      <c r="R49" s="24"/>
    </row>
    <row r="50" s="3" customFormat="1">
      <c r="A50" s="16" t="s">
        <v>81</v>
      </c>
      <c r="B50" s="26">
        <v>539.70000000000005</v>
      </c>
      <c r="C50" s="24">
        <f t="shared" si="0"/>
        <v>512.48271308523329</v>
      </c>
      <c r="D50" s="20">
        <v>6.9027611044417767e-003</v>
      </c>
      <c r="E50" s="20" t="s">
        <v>59</v>
      </c>
      <c r="F50" s="25" t="s">
        <v>60</v>
      </c>
      <c r="G50" s="16"/>
      <c r="H50" s="21" t="s">
        <v>61</v>
      </c>
      <c r="I50" s="16">
        <v>3</v>
      </c>
      <c r="J50" s="16">
        <v>89</v>
      </c>
      <c r="K50" s="16" t="s">
        <v>29</v>
      </c>
      <c r="L50" s="26">
        <v>-1.7789999999999999</v>
      </c>
      <c r="M50" s="26">
        <v>-7.2370000000000001</v>
      </c>
      <c r="N50" s="26"/>
      <c r="O50" s="26"/>
      <c r="P50" s="26"/>
      <c r="Q50" s="20"/>
      <c r="R50" s="24"/>
    </row>
    <row r="51" s="3" customFormat="1">
      <c r="A51" s="16" t="s">
        <v>82</v>
      </c>
      <c r="B51" s="26">
        <v>536.70000000000005</v>
      </c>
      <c r="C51" s="24">
        <f t="shared" si="0"/>
        <v>512.50342136854658</v>
      </c>
      <c r="D51" s="20">
        <v>6.9027611044417767e-003</v>
      </c>
      <c r="E51" s="20" t="s">
        <v>59</v>
      </c>
      <c r="F51" s="25" t="s">
        <v>60</v>
      </c>
      <c r="G51" s="16"/>
      <c r="H51" s="21" t="s">
        <v>61</v>
      </c>
      <c r="I51" s="16">
        <v>3</v>
      </c>
      <c r="J51" s="16">
        <v>89</v>
      </c>
      <c r="K51" s="16" t="s">
        <v>29</v>
      </c>
      <c r="L51" s="26">
        <v>-1.8759999999999999</v>
      </c>
      <c r="M51" s="26">
        <v>-7.2300000000000004</v>
      </c>
      <c r="N51" s="26"/>
      <c r="O51" s="26"/>
      <c r="P51" s="26"/>
      <c r="Q51" s="20"/>
      <c r="R51" s="24"/>
    </row>
    <row r="52" s="3" customFormat="1">
      <c r="A52" s="16" t="s">
        <v>83</v>
      </c>
      <c r="B52" s="26">
        <v>534.70000000000005</v>
      </c>
      <c r="C52" s="24">
        <f t="shared" si="0"/>
        <v>512.51722689075541</v>
      </c>
      <c r="D52" s="20">
        <v>6.9027611044417767e-003</v>
      </c>
      <c r="E52" s="20" t="s">
        <v>59</v>
      </c>
      <c r="F52" s="25" t="s">
        <v>60</v>
      </c>
      <c r="G52" s="16"/>
      <c r="H52" s="21" t="s">
        <v>61</v>
      </c>
      <c r="I52" s="16">
        <v>3</v>
      </c>
      <c r="J52" s="16">
        <v>89</v>
      </c>
      <c r="K52" s="16" t="s">
        <v>29</v>
      </c>
      <c r="L52" s="26">
        <v>-1.456</v>
      </c>
      <c r="M52" s="26">
        <v>-7.0250000000000004</v>
      </c>
      <c r="N52" s="26">
        <v>35.170660415531074</v>
      </c>
      <c r="O52" s="26">
        <v>34.853052803202146</v>
      </c>
      <c r="P52" s="23">
        <v>88.365179999999995</v>
      </c>
      <c r="Q52" s="27">
        <v>4.5229414100573982e-002</v>
      </c>
      <c r="R52" s="28">
        <v>4.2648709315375989e-002</v>
      </c>
    </row>
    <row r="53" s="3" customFormat="1">
      <c r="A53" s="16" t="s">
        <v>84</v>
      </c>
      <c r="B53" s="26">
        <v>532.80000000000007</v>
      </c>
      <c r="C53" s="24">
        <f t="shared" si="0"/>
        <v>512.53034213685385</v>
      </c>
      <c r="D53" s="20">
        <v>6.9027611044417767e-003</v>
      </c>
      <c r="E53" s="20" t="s">
        <v>59</v>
      </c>
      <c r="F53" s="25" t="s">
        <v>60</v>
      </c>
      <c r="G53" s="16"/>
      <c r="H53" s="21" t="s">
        <v>61</v>
      </c>
      <c r="I53" s="16">
        <v>3</v>
      </c>
      <c r="J53" s="16">
        <v>89</v>
      </c>
      <c r="K53" s="16" t="s">
        <v>29</v>
      </c>
      <c r="L53" s="26">
        <v>-1.996</v>
      </c>
      <c r="M53" s="26">
        <v>-6.7050000000000001</v>
      </c>
      <c r="N53" s="26"/>
      <c r="O53" s="26"/>
      <c r="P53" s="26"/>
      <c r="Q53" s="20"/>
      <c r="R53" s="24"/>
    </row>
    <row r="54" s="3" customFormat="1">
      <c r="A54" s="16" t="s">
        <v>85</v>
      </c>
      <c r="B54" s="26">
        <v>528.80000000000007</v>
      </c>
      <c r="C54" s="24">
        <f t="shared" si="0"/>
        <v>512.55795318127161</v>
      </c>
      <c r="D54" s="20">
        <v>6.9027611044417767e-003</v>
      </c>
      <c r="E54" s="20" t="s">
        <v>59</v>
      </c>
      <c r="F54" s="25" t="s">
        <v>60</v>
      </c>
      <c r="G54" s="16"/>
      <c r="H54" s="21" t="s">
        <v>61</v>
      </c>
      <c r="I54" s="16">
        <v>3</v>
      </c>
      <c r="J54" s="16">
        <v>89</v>
      </c>
      <c r="K54" s="16" t="s">
        <v>29</v>
      </c>
      <c r="L54" s="26">
        <v>-1.8320000000000001</v>
      </c>
      <c r="M54" s="26">
        <v>-6.6470000000000002</v>
      </c>
      <c r="N54" s="26">
        <v>31.947859112150077</v>
      </c>
      <c r="O54" s="26">
        <v>41.157698281041952</v>
      </c>
      <c r="P54" s="23">
        <v>88.468944999999991</v>
      </c>
      <c r="Q54" s="27">
        <v>3.487748998965623e-002</v>
      </c>
      <c r="R54" s="28">
        <v>3.5397463828836385e-002</v>
      </c>
    </row>
    <row r="55" s="3" customFormat="1">
      <c r="A55" s="16" t="s">
        <v>86</v>
      </c>
      <c r="B55" s="26">
        <v>526.80000000000007</v>
      </c>
      <c r="C55" s="24">
        <f t="shared" si="0"/>
        <v>512.57175870348044</v>
      </c>
      <c r="D55" s="20">
        <v>6.9027611044417767e-003</v>
      </c>
      <c r="E55" s="20" t="s">
        <v>59</v>
      </c>
      <c r="F55" s="25" t="s">
        <v>60</v>
      </c>
      <c r="G55" s="16"/>
      <c r="H55" s="21" t="s">
        <v>61</v>
      </c>
      <c r="I55" s="16">
        <v>3</v>
      </c>
      <c r="J55" s="16">
        <v>89</v>
      </c>
      <c r="K55" s="16" t="s">
        <v>29</v>
      </c>
      <c r="L55" s="26">
        <v>-1.389</v>
      </c>
      <c r="M55" s="26">
        <v>-6.2009999999999996</v>
      </c>
      <c r="N55" s="26"/>
      <c r="O55" s="26"/>
      <c r="P55" s="26"/>
      <c r="Q55" s="20"/>
      <c r="R55" s="24"/>
    </row>
    <row r="56" s="3" customFormat="1">
      <c r="A56" s="16" t="s">
        <v>87</v>
      </c>
      <c r="B56" s="26">
        <v>524.80000000000007</v>
      </c>
      <c r="C56" s="24">
        <f t="shared" si="0"/>
        <v>512.58556422568927</v>
      </c>
      <c r="D56" s="20">
        <v>6.9027611044417767e-003</v>
      </c>
      <c r="E56" s="20" t="s">
        <v>59</v>
      </c>
      <c r="F56" s="25" t="s">
        <v>60</v>
      </c>
      <c r="G56" s="16"/>
      <c r="H56" s="21" t="s">
        <v>61</v>
      </c>
      <c r="I56" s="16">
        <v>3</v>
      </c>
      <c r="J56" s="16">
        <v>89</v>
      </c>
      <c r="K56" s="16" t="s">
        <v>29</v>
      </c>
      <c r="L56" s="26">
        <v>-2.1680000000000001</v>
      </c>
      <c r="M56" s="26">
        <v>-7.4219999999999997</v>
      </c>
      <c r="N56" s="26"/>
      <c r="O56" s="26"/>
      <c r="P56" s="26"/>
      <c r="Q56" s="20"/>
      <c r="R56" s="24"/>
    </row>
    <row r="57" s="3" customFormat="1">
      <c r="A57" s="16" t="s">
        <v>88</v>
      </c>
      <c r="B57" s="26">
        <v>522.80000000000007</v>
      </c>
      <c r="C57" s="24">
        <f t="shared" si="0"/>
        <v>512.59936974789809</v>
      </c>
      <c r="D57" s="20">
        <v>6.9027611044417767e-003</v>
      </c>
      <c r="E57" s="20" t="s">
        <v>59</v>
      </c>
      <c r="F57" s="25" t="s">
        <v>60</v>
      </c>
      <c r="G57" s="16"/>
      <c r="H57" s="21" t="s">
        <v>61</v>
      </c>
      <c r="I57" s="16">
        <v>3</v>
      </c>
      <c r="J57" s="16">
        <v>89</v>
      </c>
      <c r="K57" s="16" t="s">
        <v>29</v>
      </c>
      <c r="L57" s="26">
        <v>-2.6619999999999999</v>
      </c>
      <c r="M57" s="26">
        <v>-6.484</v>
      </c>
      <c r="N57" s="26"/>
      <c r="O57" s="26"/>
      <c r="P57" s="26"/>
      <c r="Q57" s="20"/>
      <c r="R57" s="24"/>
    </row>
    <row r="58" s="3" customFormat="1">
      <c r="A58" s="16" t="s">
        <v>89</v>
      </c>
      <c r="B58" s="26">
        <v>520.80000000000007</v>
      </c>
      <c r="C58" s="24">
        <f t="shared" si="0"/>
        <v>512.61317527010692</v>
      </c>
      <c r="D58" s="20">
        <v>6.9027611044417767e-003</v>
      </c>
      <c r="E58" s="20" t="s">
        <v>59</v>
      </c>
      <c r="F58" s="25" t="s">
        <v>60</v>
      </c>
      <c r="G58" s="16"/>
      <c r="H58" s="21" t="s">
        <v>61</v>
      </c>
      <c r="I58" s="16">
        <v>3</v>
      </c>
      <c r="J58" s="16">
        <v>89</v>
      </c>
      <c r="K58" s="16" t="s">
        <v>29</v>
      </c>
      <c r="L58" s="26">
        <v>-1.7490000000000001</v>
      </c>
      <c r="M58" s="26">
        <v>-6.5670000000000002</v>
      </c>
      <c r="N58" s="26">
        <v>20.453295870278705</v>
      </c>
      <c r="O58" s="26">
        <v>80.618073196364435</v>
      </c>
      <c r="P58" s="23">
        <v>87.696044000000001</v>
      </c>
      <c r="Q58" s="27">
        <v>2.3211123669586508e-002</v>
      </c>
      <c r="R58" s="28">
        <v>3.244572013727233e-002</v>
      </c>
    </row>
    <row r="59" s="3" customFormat="1">
      <c r="A59" s="16" t="s">
        <v>90</v>
      </c>
      <c r="B59" s="26">
        <v>518.80000000000007</v>
      </c>
      <c r="C59" s="24">
        <f t="shared" si="0"/>
        <v>512.62698079231575</v>
      </c>
      <c r="D59" s="20">
        <v>6.9027611044417767e-003</v>
      </c>
      <c r="E59" s="20" t="s">
        <v>59</v>
      </c>
      <c r="F59" s="25" t="s">
        <v>60</v>
      </c>
      <c r="G59" s="16"/>
      <c r="H59" s="21" t="s">
        <v>61</v>
      </c>
      <c r="I59" s="16">
        <v>3</v>
      </c>
      <c r="J59" s="16">
        <v>89</v>
      </c>
      <c r="K59" s="16" t="s">
        <v>29</v>
      </c>
      <c r="L59" s="26">
        <v>-1.5269999999999999</v>
      </c>
      <c r="M59" s="26">
        <v>-6.7169999999999996</v>
      </c>
      <c r="N59" s="26"/>
      <c r="O59" s="26"/>
      <c r="P59" s="26"/>
      <c r="Q59" s="20"/>
      <c r="R59" s="24"/>
    </row>
    <row r="60" s="3" customFormat="1">
      <c r="A60" s="16" t="s">
        <v>91</v>
      </c>
      <c r="B60" s="26">
        <v>516.30000000000007</v>
      </c>
      <c r="C60" s="24">
        <f t="shared" si="0"/>
        <v>512.64423769507687</v>
      </c>
      <c r="D60" s="20">
        <v>6.9027611044417767e-003</v>
      </c>
      <c r="E60" s="20" t="s">
        <v>59</v>
      </c>
      <c r="F60" s="25" t="s">
        <v>60</v>
      </c>
      <c r="G60" s="16"/>
      <c r="H60" s="21" t="s">
        <v>61</v>
      </c>
      <c r="I60" s="16">
        <v>3</v>
      </c>
      <c r="J60" s="16">
        <v>89</v>
      </c>
      <c r="K60" s="16" t="s">
        <v>29</v>
      </c>
      <c r="L60" s="26">
        <v>-1.7390000000000001</v>
      </c>
      <c r="M60" s="26">
        <v>-6.468</v>
      </c>
      <c r="N60" s="26"/>
      <c r="O60" s="26"/>
      <c r="P60" s="26"/>
      <c r="Q60" s="20"/>
      <c r="R60" s="24"/>
    </row>
    <row r="61" s="3" customFormat="1">
      <c r="A61" s="16" t="s">
        <v>92</v>
      </c>
      <c r="B61" s="26">
        <v>515.30000000000007</v>
      </c>
      <c r="C61" s="24">
        <f t="shared" si="0"/>
        <v>512.65114045618134</v>
      </c>
      <c r="D61" s="20">
        <v>6.9027611044417767e-003</v>
      </c>
      <c r="E61" s="20" t="s">
        <v>59</v>
      </c>
      <c r="F61" s="25" t="s">
        <v>60</v>
      </c>
      <c r="G61" s="16"/>
      <c r="H61" s="21" t="s">
        <v>61</v>
      </c>
      <c r="I61" s="16">
        <v>3</v>
      </c>
      <c r="J61" s="16">
        <v>89</v>
      </c>
      <c r="K61" s="16" t="s">
        <v>29</v>
      </c>
      <c r="L61" s="26">
        <v>-1.758</v>
      </c>
      <c r="M61" s="26">
        <v>-6.6189999999999998</v>
      </c>
      <c r="N61" s="26">
        <v>25.671870181228975</v>
      </c>
      <c r="O61" s="26">
        <v>485.77209853445584</v>
      </c>
      <c r="P61" s="23">
        <v>86.515225000000001</v>
      </c>
      <c r="Q61" s="27">
        <v>5.4785335818225374e-002</v>
      </c>
      <c r="R61" s="28">
        <v>3.9147041107870185e-002</v>
      </c>
    </row>
    <row r="62" s="3" customFormat="1">
      <c r="A62" s="16" t="s">
        <v>93</v>
      </c>
      <c r="B62" s="26">
        <v>513.30000000000007</v>
      </c>
      <c r="C62" s="24">
        <f t="shared" si="0"/>
        <v>512.66494597839016</v>
      </c>
      <c r="D62" s="20">
        <v>6.9027611044417767e-003</v>
      </c>
      <c r="E62" s="20" t="s">
        <v>59</v>
      </c>
      <c r="F62" s="25" t="s">
        <v>60</v>
      </c>
      <c r="G62" s="16"/>
      <c r="H62" s="21" t="s">
        <v>61</v>
      </c>
      <c r="I62" s="16">
        <v>3</v>
      </c>
      <c r="J62" s="16">
        <v>89</v>
      </c>
      <c r="K62" s="16" t="s">
        <v>29</v>
      </c>
      <c r="L62" s="26">
        <v>-1.5820000000000001</v>
      </c>
      <c r="M62" s="26">
        <v>-6.242</v>
      </c>
      <c r="N62" s="26"/>
      <c r="O62" s="26"/>
      <c r="P62" s="26"/>
      <c r="Q62" s="20"/>
      <c r="R62" s="24"/>
    </row>
    <row r="63" s="3" customFormat="1">
      <c r="A63" s="16" t="s">
        <v>94</v>
      </c>
      <c r="B63" s="26">
        <v>511.30000000000001</v>
      </c>
      <c r="C63" s="24">
        <f t="shared" si="0"/>
        <v>512.67875150059911</v>
      </c>
      <c r="D63" s="20">
        <v>6.9027611044417767e-003</v>
      </c>
      <c r="E63" s="20" t="s">
        <v>59</v>
      </c>
      <c r="F63" s="25" t="s">
        <v>60</v>
      </c>
      <c r="G63" s="16"/>
      <c r="H63" s="21" t="s">
        <v>61</v>
      </c>
      <c r="I63" s="16">
        <v>3</v>
      </c>
      <c r="J63" s="16">
        <v>89</v>
      </c>
      <c r="K63" s="16" t="s">
        <v>29</v>
      </c>
      <c r="L63" s="26">
        <v>-1.629</v>
      </c>
      <c r="M63" s="26">
        <v>-6.5010000000000003</v>
      </c>
      <c r="N63" s="26">
        <v>29.340395359864697</v>
      </c>
      <c r="O63" s="26">
        <v>65.43075277126816</v>
      </c>
      <c r="P63" s="23">
        <v>86.983337000000006</v>
      </c>
      <c r="Q63" s="27">
        <v>1.790927544686129e-002</v>
      </c>
      <c r="R63" s="28">
        <v>1.9916181746917117e-002</v>
      </c>
    </row>
    <row r="64" s="3" customFormat="1">
      <c r="A64" s="16" t="s">
        <v>95</v>
      </c>
      <c r="B64" s="26">
        <v>509.30000000000001</v>
      </c>
      <c r="C64" s="24">
        <f t="shared" si="0"/>
        <v>512.69255702280793</v>
      </c>
      <c r="D64" s="20">
        <v>6.9027611044417767e-003</v>
      </c>
      <c r="E64" s="20" t="s">
        <v>59</v>
      </c>
      <c r="F64" s="25" t="s">
        <v>60</v>
      </c>
      <c r="G64" s="16"/>
      <c r="H64" s="21" t="s">
        <v>61</v>
      </c>
      <c r="I64" s="16">
        <v>3</v>
      </c>
      <c r="J64" s="16">
        <v>89</v>
      </c>
      <c r="K64" s="16" t="s">
        <v>29</v>
      </c>
      <c r="L64" s="26">
        <v>-1.881</v>
      </c>
      <c r="M64" s="26">
        <v>-7.2990000000000004</v>
      </c>
      <c r="N64" s="26"/>
      <c r="O64" s="26"/>
      <c r="P64" s="26"/>
      <c r="Q64" s="20"/>
      <c r="R64" s="24"/>
    </row>
    <row r="65" s="3" customFormat="1">
      <c r="A65" s="16" t="s">
        <v>96</v>
      </c>
      <c r="B65" s="26">
        <v>507.30000000000001</v>
      </c>
      <c r="C65" s="24">
        <f t="shared" si="0"/>
        <v>512.70636254501676</v>
      </c>
      <c r="D65" s="20">
        <v>6.9027611044417767e-003</v>
      </c>
      <c r="E65" s="20" t="s">
        <v>59</v>
      </c>
      <c r="F65" s="25" t="s">
        <v>60</v>
      </c>
      <c r="G65" s="16"/>
      <c r="H65" s="21" t="s">
        <v>61</v>
      </c>
      <c r="I65" s="16">
        <v>3</v>
      </c>
      <c r="J65" s="16">
        <v>89</v>
      </c>
      <c r="K65" s="16" t="s">
        <v>29</v>
      </c>
      <c r="L65" s="26">
        <v>-1.698</v>
      </c>
      <c r="M65" s="26">
        <v>-6.2949999999999999</v>
      </c>
      <c r="N65" s="26"/>
      <c r="O65" s="26"/>
      <c r="P65" s="26"/>
      <c r="Q65" s="20"/>
      <c r="R65" s="24"/>
    </row>
    <row r="66" s="3" customFormat="1">
      <c r="A66" s="16" t="s">
        <v>97</v>
      </c>
      <c r="B66" s="26">
        <v>505.30000000000001</v>
      </c>
      <c r="C66" s="24">
        <f t="shared" si="0"/>
        <v>512.72016806722559</v>
      </c>
      <c r="D66" s="20">
        <v>6.9027611044417767e-003</v>
      </c>
      <c r="E66" s="20" t="s">
        <v>59</v>
      </c>
      <c r="F66" s="25" t="s">
        <v>60</v>
      </c>
      <c r="G66" s="16"/>
      <c r="H66" s="21" t="s">
        <v>61</v>
      </c>
      <c r="I66" s="16">
        <v>3</v>
      </c>
      <c r="J66" s="16">
        <v>89</v>
      </c>
      <c r="K66" s="16" t="s">
        <v>29</v>
      </c>
      <c r="L66" s="26">
        <v>-1.454</v>
      </c>
      <c r="M66" s="26">
        <v>-6.5990000000000002</v>
      </c>
      <c r="N66" s="26">
        <v>28.875179391454004</v>
      </c>
      <c r="O66" s="26">
        <v>66.073077274144637</v>
      </c>
      <c r="P66" s="23">
        <v>88.008064999999988</v>
      </c>
      <c r="Q66" s="27">
        <v>6.8574639783808011e-002</v>
      </c>
      <c r="R66" s="28">
        <v>5.0515183594379051e-002</v>
      </c>
    </row>
    <row r="67" s="3" customFormat="1">
      <c r="A67" s="16" t="s">
        <v>98</v>
      </c>
      <c r="B67" s="26">
        <v>503.30000000000001</v>
      </c>
      <c r="C67" s="24">
        <f t="shared" si="0"/>
        <v>512.73397358943441</v>
      </c>
      <c r="D67" s="20">
        <v>6.9027611044417767e-003</v>
      </c>
      <c r="E67" s="20" t="s">
        <v>59</v>
      </c>
      <c r="F67" s="25" t="s">
        <v>60</v>
      </c>
      <c r="G67" s="16"/>
      <c r="H67" s="21" t="s">
        <v>61</v>
      </c>
      <c r="I67" s="16">
        <v>3</v>
      </c>
      <c r="J67" s="16">
        <v>89</v>
      </c>
      <c r="K67" s="16" t="s">
        <v>29</v>
      </c>
      <c r="L67" s="26">
        <v>-1.4139999999999999</v>
      </c>
      <c r="M67" s="26">
        <v>-6.7450000000000001</v>
      </c>
      <c r="N67" s="26"/>
      <c r="O67" s="26"/>
      <c r="P67" s="26"/>
      <c r="Q67" s="20"/>
      <c r="R67" s="24"/>
    </row>
    <row r="68" s="3" customFormat="1">
      <c r="A68" s="16" t="s">
        <v>99</v>
      </c>
      <c r="B68" s="26">
        <v>501.30000000000001</v>
      </c>
      <c r="C68" s="24">
        <f t="shared" ref="C68:C69" si="1">C67+(B67-B68)*D68</f>
        <v>512.74777911164324</v>
      </c>
      <c r="D68" s="20">
        <v>6.9027611044417767e-003</v>
      </c>
      <c r="E68" s="20" t="s">
        <v>59</v>
      </c>
      <c r="F68" s="25" t="s">
        <v>60</v>
      </c>
      <c r="G68" s="16"/>
      <c r="H68" s="21" t="s">
        <v>61</v>
      </c>
      <c r="I68" s="16">
        <v>3</v>
      </c>
      <c r="J68" s="16">
        <v>89</v>
      </c>
      <c r="K68" s="16" t="s">
        <v>29</v>
      </c>
      <c r="L68" s="26">
        <v>-1.6240000000000001</v>
      </c>
      <c r="M68" s="26">
        <v>-6.7009999999999996</v>
      </c>
      <c r="N68" s="26"/>
      <c r="O68" s="26"/>
      <c r="P68" s="26"/>
      <c r="Q68" s="20"/>
      <c r="R68" s="24"/>
    </row>
    <row r="69" s="3" customFormat="1">
      <c r="A69" s="16" t="s">
        <v>100</v>
      </c>
      <c r="B69" s="26">
        <v>499.30000000000001</v>
      </c>
      <c r="C69" s="24">
        <f t="shared" si="1"/>
        <v>512.76158463385207</v>
      </c>
      <c r="D69" s="20">
        <v>6.9027611044417767e-003</v>
      </c>
      <c r="E69" s="20" t="s">
        <v>59</v>
      </c>
      <c r="F69" s="25" t="s">
        <v>60</v>
      </c>
      <c r="G69" s="16"/>
      <c r="H69" s="21" t="s">
        <v>61</v>
      </c>
      <c r="I69" s="16">
        <v>3</v>
      </c>
      <c r="J69" s="16">
        <v>89</v>
      </c>
      <c r="K69" s="16" t="s">
        <v>29</v>
      </c>
      <c r="L69" s="26">
        <v>-1.5569999999999999</v>
      </c>
      <c r="M69" s="26">
        <v>-6.7949999999999999</v>
      </c>
      <c r="N69" s="26">
        <v>29.519080850962219</v>
      </c>
      <c r="O69" s="26">
        <v>52.424276202591479</v>
      </c>
      <c r="P69" s="23">
        <v>87.642385000000004</v>
      </c>
      <c r="Q69" s="27">
        <v>3.2885062958763499e-002</v>
      </c>
      <c r="R69" s="28">
        <v>3.6455607241237802e-002</v>
      </c>
    </row>
    <row r="70" s="3" customFormat="1">
      <c r="A70" s="16" t="s">
        <v>101</v>
      </c>
      <c r="B70" s="26">
        <v>497.30000000000001</v>
      </c>
      <c r="C70" s="24">
        <f t="shared" ref="C70:C133" si="2">C69+(B69-B70)*D70</f>
        <v>512.77539015606089</v>
      </c>
      <c r="D70" s="20">
        <v>6.9027611044417767e-003</v>
      </c>
      <c r="E70" s="20" t="s">
        <v>59</v>
      </c>
      <c r="F70" s="25" t="s">
        <v>60</v>
      </c>
      <c r="G70" s="16"/>
      <c r="H70" s="21" t="s">
        <v>61</v>
      </c>
      <c r="I70" s="16">
        <v>3</v>
      </c>
      <c r="J70" s="16">
        <v>89</v>
      </c>
      <c r="K70" s="16" t="s">
        <v>29</v>
      </c>
      <c r="L70" s="26">
        <v>-1.458</v>
      </c>
      <c r="M70" s="26">
        <v>-7.0469999999999997</v>
      </c>
      <c r="N70" s="26"/>
      <c r="O70" s="26"/>
      <c r="P70" s="26"/>
      <c r="Q70" s="20"/>
      <c r="R70" s="24"/>
    </row>
    <row r="71" s="3" customFormat="1">
      <c r="A71" s="16" t="s">
        <v>102</v>
      </c>
      <c r="B71" s="26">
        <v>495.30000000000001</v>
      </c>
      <c r="C71" s="24">
        <f t="shared" si="2"/>
        <v>512.78919567826972</v>
      </c>
      <c r="D71" s="20">
        <v>6.9027611044417767e-003</v>
      </c>
      <c r="E71" s="20" t="s">
        <v>59</v>
      </c>
      <c r="F71" s="25" t="s">
        <v>60</v>
      </c>
      <c r="G71" s="16"/>
      <c r="H71" s="21" t="s">
        <v>61</v>
      </c>
      <c r="I71" s="16">
        <v>3</v>
      </c>
      <c r="J71" s="16">
        <v>89</v>
      </c>
      <c r="K71" s="16" t="s">
        <v>29</v>
      </c>
      <c r="L71" s="26">
        <v>-1.127</v>
      </c>
      <c r="M71" s="26">
        <v>-6.5129999999999999</v>
      </c>
      <c r="N71" s="26"/>
      <c r="O71" s="26"/>
      <c r="P71" s="26"/>
      <c r="Q71" s="20"/>
      <c r="R71" s="24"/>
    </row>
    <row r="72" s="3" customFormat="1">
      <c r="A72" s="16" t="s">
        <v>103</v>
      </c>
      <c r="B72" s="26">
        <v>494</v>
      </c>
      <c r="C72" s="24">
        <f t="shared" si="2"/>
        <v>512.79816926770548</v>
      </c>
      <c r="D72" s="20">
        <v>6.9027611044417767e-003</v>
      </c>
      <c r="E72" s="20" t="s">
        <v>59</v>
      </c>
      <c r="F72" s="25" t="s">
        <v>60</v>
      </c>
      <c r="G72" s="16"/>
      <c r="H72" s="21" t="s">
        <v>61</v>
      </c>
      <c r="I72" s="16">
        <v>3</v>
      </c>
      <c r="J72" s="16">
        <v>89</v>
      </c>
      <c r="K72" s="16" t="s">
        <v>29</v>
      </c>
      <c r="L72" s="26">
        <v>-1.871</v>
      </c>
      <c r="M72" s="26">
        <v>-7.2210000000000001</v>
      </c>
      <c r="N72" s="26"/>
      <c r="O72" s="26"/>
      <c r="P72" s="26"/>
      <c r="Q72" s="20"/>
      <c r="R72" s="24"/>
    </row>
    <row r="73" s="3" customFormat="1">
      <c r="A73" s="16" t="s">
        <v>104</v>
      </c>
      <c r="B73" s="26">
        <v>492</v>
      </c>
      <c r="C73" s="24">
        <f t="shared" si="2"/>
        <v>512.8119747899143</v>
      </c>
      <c r="D73" s="20">
        <v>6.9027611044417767e-003</v>
      </c>
      <c r="E73" s="20" t="s">
        <v>59</v>
      </c>
      <c r="F73" s="25" t="s">
        <v>60</v>
      </c>
      <c r="G73" s="16"/>
      <c r="H73" s="21" t="s">
        <v>61</v>
      </c>
      <c r="I73" s="16">
        <v>3</v>
      </c>
      <c r="J73" s="16">
        <v>89</v>
      </c>
      <c r="K73" s="16" t="s">
        <v>29</v>
      </c>
      <c r="L73" s="26">
        <v>-1.484</v>
      </c>
      <c r="M73" s="26">
        <v>-7.101</v>
      </c>
      <c r="N73" s="26">
        <v>31.503838160443305</v>
      </c>
      <c r="O73" s="26">
        <v>49.747739369149592</v>
      </c>
      <c r="P73" s="23">
        <v>87.496790000000018</v>
      </c>
      <c r="Q73" s="27">
        <v>5.3383858080325745e-002</v>
      </c>
      <c r="R73" s="28">
        <v>4.1885973856475724e-002</v>
      </c>
    </row>
    <row r="74" s="3" customFormat="1">
      <c r="A74" s="16" t="s">
        <v>105</v>
      </c>
      <c r="B74" s="26">
        <v>490</v>
      </c>
      <c r="C74" s="24">
        <f t="shared" si="2"/>
        <v>512.82578031212313</v>
      </c>
      <c r="D74" s="20">
        <v>6.9027611044417767e-003</v>
      </c>
      <c r="E74" s="20" t="s">
        <v>59</v>
      </c>
      <c r="F74" s="25" t="s">
        <v>60</v>
      </c>
      <c r="G74" s="16"/>
      <c r="H74" s="21" t="s">
        <v>61</v>
      </c>
      <c r="I74" s="16">
        <v>3</v>
      </c>
      <c r="J74" s="16">
        <v>89</v>
      </c>
      <c r="K74" s="16" t="s">
        <v>29</v>
      </c>
      <c r="L74" s="26">
        <v>-1.2569999999999999</v>
      </c>
      <c r="M74" s="26">
        <v>-6.0819999999999999</v>
      </c>
      <c r="N74" s="26"/>
      <c r="O74" s="26"/>
      <c r="P74" s="26"/>
      <c r="Q74" s="20"/>
      <c r="R74" s="24"/>
    </row>
    <row r="75" s="3" customFormat="1">
      <c r="A75" s="16" t="s">
        <v>106</v>
      </c>
      <c r="B75" s="26">
        <v>488</v>
      </c>
      <c r="C75" s="24">
        <f t="shared" si="2"/>
        <v>512.83958583433196</v>
      </c>
      <c r="D75" s="20">
        <v>6.9027611044417767e-003</v>
      </c>
      <c r="E75" s="20" t="s">
        <v>59</v>
      </c>
      <c r="F75" s="25" t="s">
        <v>60</v>
      </c>
      <c r="G75" s="16"/>
      <c r="H75" s="21" t="s">
        <v>61</v>
      </c>
      <c r="I75" s="16">
        <v>3</v>
      </c>
      <c r="J75" s="16">
        <v>89</v>
      </c>
      <c r="K75" s="16" t="s">
        <v>29</v>
      </c>
      <c r="L75" s="26">
        <v>-1.2749999999999999</v>
      </c>
      <c r="M75" s="26">
        <v>-7.04</v>
      </c>
      <c r="N75" s="26"/>
      <c r="O75" s="26"/>
      <c r="P75" s="26"/>
      <c r="Q75" s="20"/>
      <c r="R75" s="24"/>
    </row>
    <row r="76" s="3" customFormat="1">
      <c r="A76" s="16" t="s">
        <v>107</v>
      </c>
      <c r="B76" s="26">
        <v>486</v>
      </c>
      <c r="C76" s="24">
        <f t="shared" si="2"/>
        <v>512.85339135654078</v>
      </c>
      <c r="D76" s="20">
        <v>6.9027611044417767e-003</v>
      </c>
      <c r="E76" s="20" t="s">
        <v>59</v>
      </c>
      <c r="F76" s="25" t="s">
        <v>60</v>
      </c>
      <c r="G76" s="21"/>
      <c r="H76" s="21" t="s">
        <v>61</v>
      </c>
      <c r="I76" s="16">
        <v>3</v>
      </c>
      <c r="J76" s="16">
        <v>89</v>
      </c>
      <c r="K76" s="16" t="s">
        <v>29</v>
      </c>
      <c r="L76" s="26">
        <v>-1.2769999999999999</v>
      </c>
      <c r="M76" s="26">
        <v>-6.9560000000000004</v>
      </c>
      <c r="N76" s="26">
        <v>27.255685890647275</v>
      </c>
      <c r="O76" s="26">
        <v>64.663101687281284</v>
      </c>
      <c r="P76" s="23">
        <v>87.306764999999999</v>
      </c>
      <c r="Q76" s="27">
        <v>4.6927048685069792e-002</v>
      </c>
      <c r="R76" s="28">
        <v>3.4445940594059407e-002</v>
      </c>
    </row>
    <row r="77" s="3" customFormat="1">
      <c r="A77" s="16" t="s">
        <v>108</v>
      </c>
      <c r="B77" s="26">
        <v>484</v>
      </c>
      <c r="C77" s="24">
        <f t="shared" si="2"/>
        <v>512.86719687874961</v>
      </c>
      <c r="D77" s="20">
        <v>6.9027611044417767e-003</v>
      </c>
      <c r="E77" s="20" t="s">
        <v>59</v>
      </c>
      <c r="F77" s="25" t="s">
        <v>60</v>
      </c>
      <c r="G77" s="16"/>
      <c r="H77" s="21" t="s">
        <v>61</v>
      </c>
      <c r="I77" s="16">
        <v>3</v>
      </c>
      <c r="J77" s="16">
        <v>89</v>
      </c>
      <c r="K77" s="16" t="s">
        <v>29</v>
      </c>
      <c r="L77" s="26">
        <v>-1.4690000000000001</v>
      </c>
      <c r="M77" s="26">
        <v>-7.5010000000000003</v>
      </c>
      <c r="N77" s="26"/>
      <c r="O77" s="26"/>
      <c r="P77" s="26"/>
      <c r="Q77" s="20"/>
      <c r="R77" s="24"/>
    </row>
    <row r="78" s="3" customFormat="1">
      <c r="A78" s="16" t="s">
        <v>109</v>
      </c>
      <c r="B78" s="26">
        <v>483.19999999999999</v>
      </c>
      <c r="C78" s="24">
        <f t="shared" si="2"/>
        <v>512.87271908763319</v>
      </c>
      <c r="D78" s="20">
        <v>6.9027611044417767e-003</v>
      </c>
      <c r="E78" s="20" t="s">
        <v>59</v>
      </c>
      <c r="F78" s="25" t="s">
        <v>60</v>
      </c>
      <c r="G78" s="16"/>
      <c r="H78" s="21" t="s">
        <v>61</v>
      </c>
      <c r="I78" s="16">
        <v>3</v>
      </c>
      <c r="J78" s="16">
        <v>89</v>
      </c>
      <c r="K78" s="16" t="s">
        <v>29</v>
      </c>
      <c r="L78" s="26">
        <v>-1.2490000000000001</v>
      </c>
      <c r="M78" s="26">
        <v>-6.3550000000000004</v>
      </c>
      <c r="N78" s="26"/>
      <c r="O78" s="26"/>
      <c r="P78" s="26"/>
      <c r="Q78" s="20"/>
      <c r="R78" s="24"/>
    </row>
    <row r="79" s="3" customFormat="1">
      <c r="A79" s="16" t="s">
        <v>110</v>
      </c>
      <c r="B79" s="26">
        <v>482.19999999999999</v>
      </c>
      <c r="C79" s="24">
        <f t="shared" si="2"/>
        <v>512.87962184873766</v>
      </c>
      <c r="D79" s="20">
        <v>6.9027611044417767e-003</v>
      </c>
      <c r="E79" s="20" t="s">
        <v>59</v>
      </c>
      <c r="F79" s="25" t="s">
        <v>60</v>
      </c>
      <c r="G79" s="16"/>
      <c r="H79" s="21" t="s">
        <v>61</v>
      </c>
      <c r="I79" s="16">
        <v>3</v>
      </c>
      <c r="J79" s="16">
        <v>89</v>
      </c>
      <c r="K79" s="16" t="s">
        <v>29</v>
      </c>
      <c r="L79" s="26">
        <v>-1.4399999999999999</v>
      </c>
      <c r="M79" s="26">
        <v>-7.2060000000000004</v>
      </c>
      <c r="N79" s="26">
        <v>21.994618917000409</v>
      </c>
      <c r="O79" s="26">
        <v>81.964360613596767</v>
      </c>
      <c r="P79" s="23">
        <v>87.738260999999994</v>
      </c>
      <c r="Q79" s="27">
        <v>2.2367108731490434e-002</v>
      </c>
      <c r="R79" s="28">
        <v>3.7657880452641339e-002</v>
      </c>
    </row>
    <row r="80" s="3" customFormat="1">
      <c r="A80" s="16" t="s">
        <v>111</v>
      </c>
      <c r="B80" s="26">
        <v>479.69999999999999</v>
      </c>
      <c r="C80" s="24">
        <f t="shared" si="2"/>
        <v>512.89687875149878</v>
      </c>
      <c r="D80" s="20">
        <v>6.9027611044417767e-003</v>
      </c>
      <c r="E80" s="20" t="s">
        <v>59</v>
      </c>
      <c r="F80" s="25" t="s">
        <v>60</v>
      </c>
      <c r="G80" s="16"/>
      <c r="H80" s="21" t="s">
        <v>112</v>
      </c>
      <c r="I80" s="16">
        <v>0</v>
      </c>
      <c r="J80" s="16">
        <v>94</v>
      </c>
      <c r="K80" s="16" t="s">
        <v>29</v>
      </c>
      <c r="L80" s="26">
        <v>-1.5269999999999999</v>
      </c>
      <c r="M80" s="26">
        <v>-7.1340000000000003</v>
      </c>
      <c r="N80" s="26"/>
      <c r="O80" s="26"/>
      <c r="P80" s="26"/>
      <c r="Q80" s="20"/>
      <c r="R80" s="24"/>
    </row>
    <row r="81" s="3" customFormat="1">
      <c r="A81" s="16" t="s">
        <v>113</v>
      </c>
      <c r="B81" s="26">
        <v>478.69999999999999</v>
      </c>
      <c r="C81" s="24">
        <f t="shared" si="2"/>
        <v>512.90378151260325</v>
      </c>
      <c r="D81" s="20">
        <v>6.9027611044417767e-003</v>
      </c>
      <c r="E81" s="20" t="s">
        <v>59</v>
      </c>
      <c r="F81" s="25" t="s">
        <v>60</v>
      </c>
      <c r="G81" s="16"/>
      <c r="H81" s="21" t="s">
        <v>112</v>
      </c>
      <c r="I81" s="16">
        <v>0</v>
      </c>
      <c r="J81" s="16">
        <v>94</v>
      </c>
      <c r="K81" s="16" t="s">
        <v>29</v>
      </c>
      <c r="L81" s="26">
        <v>-1.1060000000000001</v>
      </c>
      <c r="M81" s="26">
        <v>-6.5099999999999998</v>
      </c>
      <c r="N81" s="26"/>
      <c r="O81" s="26">
        <v>36.393832160834542</v>
      </c>
      <c r="P81" s="26"/>
      <c r="Q81" s="20"/>
      <c r="R81" s="24"/>
    </row>
    <row r="82" s="3" customFormat="1">
      <c r="A82" s="16" t="s">
        <v>114</v>
      </c>
      <c r="B82" s="26">
        <v>477.69999999999999</v>
      </c>
      <c r="C82" s="24">
        <f t="shared" si="2"/>
        <v>512.91068427370772</v>
      </c>
      <c r="D82" s="20">
        <v>6.9027611044417767e-003</v>
      </c>
      <c r="E82" s="20" t="s">
        <v>59</v>
      </c>
      <c r="F82" s="25" t="s">
        <v>60</v>
      </c>
      <c r="G82" s="16"/>
      <c r="H82" s="21" t="s">
        <v>112</v>
      </c>
      <c r="I82" s="16">
        <v>0</v>
      </c>
      <c r="J82" s="16">
        <v>94</v>
      </c>
      <c r="K82" s="16" t="s">
        <v>29</v>
      </c>
      <c r="L82" s="26">
        <v>-1.3999999999999999</v>
      </c>
      <c r="M82" s="26">
        <v>-7.0830000000000002</v>
      </c>
      <c r="N82" s="26"/>
      <c r="O82" s="26"/>
      <c r="P82" s="26"/>
      <c r="Q82" s="20"/>
      <c r="R82" s="24"/>
    </row>
    <row r="83" s="3" customFormat="1">
      <c r="A83" s="16" t="s">
        <v>115</v>
      </c>
      <c r="B83" s="26">
        <v>473.69999999999999</v>
      </c>
      <c r="C83" s="24">
        <f t="shared" si="2"/>
        <v>512.93829531812548</v>
      </c>
      <c r="D83" s="20">
        <v>6.9027611044417767e-003</v>
      </c>
      <c r="E83" s="20" t="s">
        <v>59</v>
      </c>
      <c r="F83" s="25" t="s">
        <v>60</v>
      </c>
      <c r="G83" s="16"/>
      <c r="H83" s="21" t="s">
        <v>112</v>
      </c>
      <c r="I83" s="16">
        <v>0</v>
      </c>
      <c r="J83" s="16">
        <v>94</v>
      </c>
      <c r="K83" s="16" t="s">
        <v>29</v>
      </c>
      <c r="L83" s="26">
        <v>-1.4279999999999999</v>
      </c>
      <c r="M83" s="26">
        <v>-7.101</v>
      </c>
      <c r="N83" s="26"/>
      <c r="O83" s="26"/>
      <c r="P83" s="26"/>
      <c r="Q83" s="20"/>
      <c r="R83" s="24"/>
    </row>
    <row r="84" s="3" customFormat="1">
      <c r="A84" s="16" t="s">
        <v>116</v>
      </c>
      <c r="B84" s="26">
        <v>471.69999999999999</v>
      </c>
      <c r="C84" s="24">
        <f t="shared" si="2"/>
        <v>512.95210084033431</v>
      </c>
      <c r="D84" s="20">
        <v>6.9027611044417767e-003</v>
      </c>
      <c r="E84" s="20" t="s">
        <v>59</v>
      </c>
      <c r="F84" s="25" t="s">
        <v>60</v>
      </c>
      <c r="G84" s="16"/>
      <c r="H84" s="21" t="s">
        <v>112</v>
      </c>
      <c r="I84" s="16">
        <v>0</v>
      </c>
      <c r="J84" s="16">
        <v>94</v>
      </c>
      <c r="K84" s="16" t="s">
        <v>29</v>
      </c>
      <c r="L84" s="26">
        <v>-1.379</v>
      </c>
      <c r="M84" s="26">
        <v>-7.383</v>
      </c>
      <c r="N84" s="26"/>
      <c r="O84" s="26"/>
      <c r="P84" s="26"/>
      <c r="Q84" s="20"/>
      <c r="R84" s="24"/>
    </row>
    <row r="85" s="3" customFormat="1">
      <c r="A85" s="16" t="s">
        <v>117</v>
      </c>
      <c r="B85" s="26">
        <v>467.69999999999999</v>
      </c>
      <c r="C85" s="24">
        <f t="shared" si="2"/>
        <v>512.97971188475208</v>
      </c>
      <c r="D85" s="20">
        <v>6.9027611044417767e-003</v>
      </c>
      <c r="E85" s="20" t="s">
        <v>59</v>
      </c>
      <c r="F85" s="25" t="s">
        <v>60</v>
      </c>
      <c r="G85" s="16"/>
      <c r="H85" s="21" t="s">
        <v>112</v>
      </c>
      <c r="I85" s="16">
        <v>0</v>
      </c>
      <c r="J85" s="16">
        <v>94</v>
      </c>
      <c r="K85" s="16" t="s">
        <v>29</v>
      </c>
      <c r="L85" s="26">
        <v>-1.052</v>
      </c>
      <c r="M85" s="26">
        <v>-5.7460000000000004</v>
      </c>
      <c r="N85" s="26"/>
      <c r="O85" s="26"/>
      <c r="P85" s="26"/>
      <c r="Q85" s="20"/>
      <c r="R85" s="24"/>
    </row>
    <row r="86" s="3" customFormat="1">
      <c r="A86" s="16" t="s">
        <v>118</v>
      </c>
      <c r="B86" s="26">
        <v>465.69999999999999</v>
      </c>
      <c r="C86" s="24">
        <f t="shared" si="2"/>
        <v>512.9935174069609</v>
      </c>
      <c r="D86" s="20">
        <v>6.9027611044417767e-003</v>
      </c>
      <c r="E86" s="20" t="s">
        <v>59</v>
      </c>
      <c r="F86" s="25" t="s">
        <v>60</v>
      </c>
      <c r="G86" s="16"/>
      <c r="H86" s="21" t="s">
        <v>112</v>
      </c>
      <c r="I86" s="16">
        <v>0</v>
      </c>
      <c r="J86" s="16">
        <v>94</v>
      </c>
      <c r="K86" s="16" t="s">
        <v>29</v>
      </c>
      <c r="L86" s="26">
        <v>-1.464</v>
      </c>
      <c r="M86" s="26">
        <v>-7.1630000000000003</v>
      </c>
      <c r="N86" s="26"/>
      <c r="O86" s="26">
        <v>39.299593691302128</v>
      </c>
      <c r="P86" s="26"/>
      <c r="Q86" s="20"/>
      <c r="R86" s="24"/>
    </row>
    <row r="87" s="3" customFormat="1">
      <c r="A87" s="16" t="s">
        <v>119</v>
      </c>
      <c r="B87" s="26">
        <v>463.69999999999999</v>
      </c>
      <c r="C87" s="24">
        <f t="shared" si="2"/>
        <v>513.00732292916973</v>
      </c>
      <c r="D87" s="20">
        <v>6.9027611044417767e-003</v>
      </c>
      <c r="E87" s="20" t="s">
        <v>59</v>
      </c>
      <c r="F87" s="25" t="s">
        <v>60</v>
      </c>
      <c r="G87" s="16"/>
      <c r="H87" s="21" t="s">
        <v>112</v>
      </c>
      <c r="I87" s="16">
        <v>0</v>
      </c>
      <c r="J87" s="16">
        <v>94</v>
      </c>
      <c r="K87" s="16" t="s">
        <v>29</v>
      </c>
      <c r="L87" s="26">
        <v>-1.643</v>
      </c>
      <c r="M87" s="26">
        <v>-7.2919999999999998</v>
      </c>
      <c r="N87" s="26"/>
      <c r="O87" s="26"/>
      <c r="P87" s="26"/>
      <c r="Q87" s="20"/>
      <c r="R87" s="24"/>
    </row>
    <row r="88" s="3" customFormat="1">
      <c r="A88" s="16" t="s">
        <v>120</v>
      </c>
      <c r="B88" s="26">
        <v>462.69999999999999</v>
      </c>
      <c r="C88" s="24">
        <f t="shared" si="2"/>
        <v>513.0142256902742</v>
      </c>
      <c r="D88" s="20">
        <v>6.9027611044417767e-003</v>
      </c>
      <c r="E88" s="20" t="s">
        <v>59</v>
      </c>
      <c r="F88" s="25" t="s">
        <v>60</v>
      </c>
      <c r="G88" s="16"/>
      <c r="H88" s="21" t="s">
        <v>112</v>
      </c>
      <c r="I88" s="16">
        <v>0</v>
      </c>
      <c r="J88" s="16">
        <v>94</v>
      </c>
      <c r="K88" s="16" t="s">
        <v>29</v>
      </c>
      <c r="L88" s="26">
        <v>-1.0700000000000001</v>
      </c>
      <c r="M88" s="26">
        <v>-6.5019999999999998</v>
      </c>
      <c r="N88" s="26">
        <v>17.989999999999998</v>
      </c>
      <c r="O88" s="26">
        <v>72.663721429507206</v>
      </c>
      <c r="P88" s="23">
        <v>88.581419999999994</v>
      </c>
      <c r="Q88" s="27">
        <v>6.0727212596689145e-002</v>
      </c>
      <c r="R88" s="28">
        <v>6.1620361462246136e-002</v>
      </c>
    </row>
    <row r="89" s="3" customFormat="1">
      <c r="A89" s="16" t="s">
        <v>121</v>
      </c>
      <c r="B89" s="26">
        <v>459.69999999999999</v>
      </c>
      <c r="C89" s="24">
        <f t="shared" si="2"/>
        <v>513.0349339735875</v>
      </c>
      <c r="D89" s="20">
        <v>6.9027611044417767e-003</v>
      </c>
      <c r="E89" s="20" t="s">
        <v>59</v>
      </c>
      <c r="F89" s="25" t="s">
        <v>60</v>
      </c>
      <c r="G89" s="16"/>
      <c r="H89" s="21" t="s">
        <v>112</v>
      </c>
      <c r="I89" s="16">
        <v>0</v>
      </c>
      <c r="J89" s="16">
        <v>94</v>
      </c>
      <c r="K89" s="16" t="s">
        <v>29</v>
      </c>
      <c r="L89" s="26">
        <v>-1.2789999999999999</v>
      </c>
      <c r="M89" s="26">
        <v>-7.1210000000000004</v>
      </c>
      <c r="N89" s="26">
        <v>17.859999999999999</v>
      </c>
      <c r="O89" s="26">
        <v>124.60286849657361</v>
      </c>
      <c r="P89" s="23">
        <v>87.719980000000007</v>
      </c>
      <c r="Q89" s="27">
        <v>7.0166356281005954e-002</v>
      </c>
      <c r="R89" s="28">
        <v>5.9704711537358457e-002</v>
      </c>
    </row>
    <row r="90" s="3" customFormat="1">
      <c r="A90" s="16" t="s">
        <v>122</v>
      </c>
      <c r="B90" s="26">
        <v>457.69999999999999</v>
      </c>
      <c r="C90" s="24">
        <f t="shared" si="2"/>
        <v>513.04873949579633</v>
      </c>
      <c r="D90" s="20">
        <v>6.9027611044417767e-003</v>
      </c>
      <c r="E90" s="20" t="s">
        <v>59</v>
      </c>
      <c r="F90" s="25" t="s">
        <v>60</v>
      </c>
      <c r="G90" s="16"/>
      <c r="H90" s="21" t="s">
        <v>112</v>
      </c>
      <c r="I90" s="16">
        <v>0</v>
      </c>
      <c r="J90" s="16">
        <v>94</v>
      </c>
      <c r="K90" s="16" t="s">
        <v>29</v>
      </c>
      <c r="L90" s="26">
        <v>-1.077</v>
      </c>
      <c r="M90" s="26">
        <v>-6.5890000000000004</v>
      </c>
      <c r="N90" s="26">
        <v>19.550000000000001</v>
      </c>
      <c r="O90" s="26">
        <v>10.11446857</v>
      </c>
      <c r="P90" s="26">
        <v>86.099999999999994</v>
      </c>
      <c r="Q90" s="20">
        <v>1.e-002</v>
      </c>
      <c r="R90" s="24">
        <v>0.10000000000000001</v>
      </c>
    </row>
    <row r="91" s="3" customFormat="1">
      <c r="A91" s="16" t="s">
        <v>123</v>
      </c>
      <c r="B91" s="26">
        <v>455.69999999999999</v>
      </c>
      <c r="C91" s="24">
        <f t="shared" si="2"/>
        <v>513.06254501800515</v>
      </c>
      <c r="D91" s="20">
        <v>6.9027611044417767e-003</v>
      </c>
      <c r="E91" s="20" t="s">
        <v>59</v>
      </c>
      <c r="F91" s="25" t="s">
        <v>60</v>
      </c>
      <c r="G91" s="16"/>
      <c r="H91" s="21" t="s">
        <v>112</v>
      </c>
      <c r="I91" s="16">
        <v>0</v>
      </c>
      <c r="J91" s="16">
        <v>94</v>
      </c>
      <c r="K91" s="16" t="s">
        <v>29</v>
      </c>
      <c r="L91" s="26">
        <v>-1.0629999999999999</v>
      </c>
      <c r="M91" s="26">
        <v>-6.5579999999999998</v>
      </c>
      <c r="N91" s="26">
        <v>25.739999999999998</v>
      </c>
      <c r="O91" s="26">
        <v>144.7837967520064</v>
      </c>
      <c r="P91" s="23">
        <v>87.175675000000012</v>
      </c>
      <c r="Q91" s="27">
        <v>4.0358547389215092e-002</v>
      </c>
      <c r="R91" s="28">
        <v>5.847965901004161e-002</v>
      </c>
    </row>
    <row r="92" s="3" customFormat="1">
      <c r="A92" s="16" t="s">
        <v>124</v>
      </c>
      <c r="B92" s="26">
        <v>453</v>
      </c>
      <c r="C92" s="24">
        <f t="shared" si="2"/>
        <v>513.08118247298717</v>
      </c>
      <c r="D92" s="20">
        <v>6.9027611044417767e-003</v>
      </c>
      <c r="E92" s="20" t="s">
        <v>59</v>
      </c>
      <c r="F92" s="25" t="s">
        <v>60</v>
      </c>
      <c r="G92" s="16"/>
      <c r="H92" s="21" t="s">
        <v>112</v>
      </c>
      <c r="I92" s="16">
        <v>0</v>
      </c>
      <c r="J92" s="16">
        <v>94</v>
      </c>
      <c r="K92" s="16" t="s">
        <v>29</v>
      </c>
      <c r="L92" s="26">
        <v>-1.2709999999999999</v>
      </c>
      <c r="M92" s="26">
        <v>-6.3419999999999996</v>
      </c>
      <c r="N92" s="26">
        <v>28.07</v>
      </c>
      <c r="O92" s="26">
        <v>204.61187396024118</v>
      </c>
      <c r="P92" s="23">
        <v>87.475053499999987</v>
      </c>
      <c r="Q92" s="27">
        <v>2.3644139608903745e-002</v>
      </c>
      <c r="R92" s="28">
        <v>2.0107900602658303e-002</v>
      </c>
    </row>
    <row r="93" s="3" customFormat="1">
      <c r="A93" s="16" t="s">
        <v>125</v>
      </c>
      <c r="B93" s="26">
        <v>451</v>
      </c>
      <c r="C93" s="24">
        <f t="shared" si="2"/>
        <v>513.09498799519599</v>
      </c>
      <c r="D93" s="20">
        <v>6.9027611044417767e-003</v>
      </c>
      <c r="E93" s="20" t="s">
        <v>59</v>
      </c>
      <c r="F93" s="25" t="s">
        <v>60</v>
      </c>
      <c r="G93" s="16"/>
      <c r="H93" s="21" t="s">
        <v>112</v>
      </c>
      <c r="I93" s="16">
        <v>0</v>
      </c>
      <c r="J93" s="16">
        <v>94</v>
      </c>
      <c r="K93" s="16" t="s">
        <v>29</v>
      </c>
      <c r="L93" s="26">
        <v>-1.266</v>
      </c>
      <c r="M93" s="26">
        <v>-6.6580000000000004</v>
      </c>
      <c r="N93" s="26"/>
      <c r="O93" s="26"/>
      <c r="P93" s="26"/>
      <c r="Q93" s="20"/>
      <c r="R93" s="24"/>
    </row>
    <row r="94" s="3" customFormat="1">
      <c r="A94" s="16" t="s">
        <v>126</v>
      </c>
      <c r="B94" s="26">
        <v>449</v>
      </c>
      <c r="C94" s="24">
        <f t="shared" si="2"/>
        <v>513.10879351740482</v>
      </c>
      <c r="D94" s="20">
        <v>6.9027611044417767e-003</v>
      </c>
      <c r="E94" s="20" t="s">
        <v>59</v>
      </c>
      <c r="F94" s="25" t="s">
        <v>60</v>
      </c>
      <c r="G94" s="16"/>
      <c r="H94" s="21" t="s">
        <v>112</v>
      </c>
      <c r="I94" s="16">
        <v>0</v>
      </c>
      <c r="J94" s="16">
        <v>94</v>
      </c>
      <c r="K94" s="16" t="s">
        <v>29</v>
      </c>
      <c r="L94" s="26">
        <v>-1.2</v>
      </c>
      <c r="M94" s="26">
        <v>-6.399</v>
      </c>
      <c r="N94" s="26"/>
      <c r="O94" s="26"/>
      <c r="P94" s="26"/>
      <c r="Q94" s="20"/>
      <c r="R94" s="24"/>
    </row>
    <row r="95" s="3" customFormat="1">
      <c r="A95" s="16" t="s">
        <v>127</v>
      </c>
      <c r="B95" s="26">
        <v>447</v>
      </c>
      <c r="C95" s="24">
        <f t="shared" si="2"/>
        <v>513.12259903961365</v>
      </c>
      <c r="D95" s="20">
        <v>6.9027611044417767e-003</v>
      </c>
      <c r="E95" s="20" t="s">
        <v>59</v>
      </c>
      <c r="F95" s="25" t="s">
        <v>60</v>
      </c>
      <c r="G95" s="16"/>
      <c r="H95" s="21" t="s">
        <v>112</v>
      </c>
      <c r="I95" s="16">
        <v>0</v>
      </c>
      <c r="J95" s="16">
        <v>94</v>
      </c>
      <c r="K95" s="16" t="s">
        <v>29</v>
      </c>
      <c r="L95" s="26">
        <v>-1.24</v>
      </c>
      <c r="M95" s="26">
        <v>-6.7750000000000004</v>
      </c>
      <c r="N95" s="26"/>
      <c r="O95" s="26">
        <v>44.862873541680806</v>
      </c>
      <c r="P95" s="26"/>
      <c r="Q95" s="20"/>
      <c r="R95" s="24"/>
    </row>
    <row r="96" s="3" customFormat="1">
      <c r="A96" s="16" t="s">
        <v>128</v>
      </c>
      <c r="B96" s="26">
        <v>446</v>
      </c>
      <c r="C96" s="24">
        <f t="shared" si="2"/>
        <v>513.12950180071812</v>
      </c>
      <c r="D96" s="20">
        <v>6.9027611044417767e-003</v>
      </c>
      <c r="E96" s="20" t="s">
        <v>59</v>
      </c>
      <c r="F96" s="25" t="s">
        <v>60</v>
      </c>
      <c r="G96" s="16"/>
      <c r="H96" s="21" t="s">
        <v>112</v>
      </c>
      <c r="I96" s="16">
        <v>0</v>
      </c>
      <c r="J96" s="16">
        <v>94</v>
      </c>
      <c r="K96" s="16" t="s">
        <v>29</v>
      </c>
      <c r="L96" s="26">
        <v>-1.3</v>
      </c>
      <c r="M96" s="26">
        <v>-6.4800000000000004</v>
      </c>
      <c r="N96" s="26"/>
      <c r="O96" s="26"/>
      <c r="P96" s="26"/>
      <c r="Q96" s="20"/>
      <c r="R96" s="24"/>
    </row>
    <row r="97" s="3" customFormat="1">
      <c r="A97" s="16" t="s">
        <v>129</v>
      </c>
      <c r="B97" s="26">
        <v>445</v>
      </c>
      <c r="C97" s="24">
        <f t="shared" si="2"/>
        <v>513.13640456182259</v>
      </c>
      <c r="D97" s="20">
        <v>6.9027611044417767e-003</v>
      </c>
      <c r="E97" s="20" t="s">
        <v>59</v>
      </c>
      <c r="F97" s="25" t="s">
        <v>60</v>
      </c>
      <c r="G97" s="16"/>
      <c r="H97" s="21" t="s">
        <v>112</v>
      </c>
      <c r="I97" s="16">
        <v>0</v>
      </c>
      <c r="J97" s="16">
        <v>94</v>
      </c>
      <c r="K97" s="16" t="s">
        <v>29</v>
      </c>
      <c r="L97" s="26">
        <v>-1.262</v>
      </c>
      <c r="M97" s="26">
        <v>-6.5949999999999998</v>
      </c>
      <c r="N97" s="26"/>
      <c r="O97" s="26"/>
      <c r="P97" s="26"/>
      <c r="Q97" s="20"/>
      <c r="R97" s="24"/>
    </row>
    <row r="98" s="3" customFormat="1">
      <c r="A98" s="16" t="s">
        <v>130</v>
      </c>
      <c r="B98" s="26">
        <v>444</v>
      </c>
      <c r="C98" s="24">
        <f t="shared" si="2"/>
        <v>513.14330732292706</v>
      </c>
      <c r="D98" s="20">
        <v>6.9027611044417767e-003</v>
      </c>
      <c r="E98" s="20" t="s">
        <v>59</v>
      </c>
      <c r="F98" s="25" t="s">
        <v>60</v>
      </c>
      <c r="G98" s="16"/>
      <c r="H98" s="21" t="s">
        <v>112</v>
      </c>
      <c r="I98" s="16">
        <v>0</v>
      </c>
      <c r="J98" s="16">
        <v>94</v>
      </c>
      <c r="K98" s="16" t="s">
        <v>29</v>
      </c>
      <c r="L98" s="26">
        <v>-1.367</v>
      </c>
      <c r="M98" s="26">
        <v>-6.6840000000000002</v>
      </c>
      <c r="N98" s="26"/>
      <c r="O98" s="26">
        <v>103.19655532429439</v>
      </c>
      <c r="P98" s="23">
        <v>86.906618000000009</v>
      </c>
      <c r="Q98" s="27">
        <v>1.9542215746714383e-002</v>
      </c>
      <c r="R98" s="28">
        <v>3.0530384595512099e-002</v>
      </c>
    </row>
    <row r="99" s="3" customFormat="1">
      <c r="A99" s="16" t="s">
        <v>131</v>
      </c>
      <c r="B99" s="26">
        <v>442</v>
      </c>
      <c r="C99" s="24">
        <f t="shared" si="2"/>
        <v>513.15711284513588</v>
      </c>
      <c r="D99" s="20">
        <v>6.9027611044417767e-003</v>
      </c>
      <c r="E99" s="20" t="s">
        <v>59</v>
      </c>
      <c r="F99" s="25" t="s">
        <v>60</v>
      </c>
      <c r="G99" s="16"/>
      <c r="H99" s="21" t="s">
        <v>112</v>
      </c>
      <c r="I99" s="16">
        <v>0</v>
      </c>
      <c r="J99" s="16">
        <v>94</v>
      </c>
      <c r="K99" s="16" t="s">
        <v>29</v>
      </c>
      <c r="L99" s="26">
        <v>-1.2849999999999999</v>
      </c>
      <c r="M99" s="26">
        <v>-7.0289999999999999</v>
      </c>
      <c r="N99" s="26"/>
      <c r="O99" s="26"/>
      <c r="P99" s="26"/>
      <c r="Q99" s="20"/>
      <c r="R99" s="24"/>
    </row>
    <row r="100" s="3" customFormat="1">
      <c r="A100" s="16" t="s">
        <v>132</v>
      </c>
      <c r="B100" s="26">
        <v>440</v>
      </c>
      <c r="C100" s="24">
        <f t="shared" si="2"/>
        <v>513.17091836734471</v>
      </c>
      <c r="D100" s="20">
        <v>6.9027611044417767e-003</v>
      </c>
      <c r="E100" s="20" t="s">
        <v>59</v>
      </c>
      <c r="F100" s="25" t="s">
        <v>60</v>
      </c>
      <c r="G100" s="16"/>
      <c r="H100" s="21" t="s">
        <v>112</v>
      </c>
      <c r="I100" s="16">
        <v>0</v>
      </c>
      <c r="J100" s="16">
        <v>94</v>
      </c>
      <c r="K100" s="16" t="s">
        <v>29</v>
      </c>
      <c r="L100" s="26">
        <v>-1.3049999999999999</v>
      </c>
      <c r="M100" s="26">
        <v>-7.3769999999999998</v>
      </c>
      <c r="N100" s="26"/>
      <c r="O100" s="26">
        <v>44.412801596091754</v>
      </c>
      <c r="P100" s="26"/>
      <c r="Q100" s="20"/>
      <c r="R100" s="24"/>
    </row>
    <row r="101" s="3" customFormat="1">
      <c r="A101" s="16" t="s">
        <v>133</v>
      </c>
      <c r="B101" s="26">
        <v>438</v>
      </c>
      <c r="C101" s="24">
        <f t="shared" si="2"/>
        <v>513.18472388955354</v>
      </c>
      <c r="D101" s="20">
        <v>6.9027611044417767e-003</v>
      </c>
      <c r="E101" s="20" t="s">
        <v>59</v>
      </c>
      <c r="F101" s="25" t="s">
        <v>60</v>
      </c>
      <c r="G101" s="16"/>
      <c r="H101" s="21" t="s">
        <v>112</v>
      </c>
      <c r="I101" s="16">
        <v>0</v>
      </c>
      <c r="J101" s="16">
        <v>94</v>
      </c>
      <c r="K101" s="16" t="s">
        <v>29</v>
      </c>
      <c r="L101" s="26">
        <v>-1.28</v>
      </c>
      <c r="M101" s="26">
        <v>-7.7439999999999998</v>
      </c>
      <c r="N101" s="26"/>
      <c r="O101" s="26"/>
      <c r="P101" s="26"/>
      <c r="Q101" s="20"/>
      <c r="R101" s="24"/>
    </row>
    <row r="102" s="3" customFormat="1">
      <c r="A102" s="16" t="s">
        <v>134</v>
      </c>
      <c r="B102" s="26">
        <v>434</v>
      </c>
      <c r="C102" s="24">
        <f t="shared" si="2"/>
        <v>513.21233493397131</v>
      </c>
      <c r="D102" s="20">
        <v>6.9027611044417767e-003</v>
      </c>
      <c r="E102" s="20" t="s">
        <v>59</v>
      </c>
      <c r="F102" s="25" t="s">
        <v>60</v>
      </c>
      <c r="G102" s="16"/>
      <c r="H102" s="21" t="s">
        <v>112</v>
      </c>
      <c r="I102" s="16">
        <v>0</v>
      </c>
      <c r="J102" s="16">
        <v>94</v>
      </c>
      <c r="K102" s="16" t="s">
        <v>29</v>
      </c>
      <c r="L102" s="26">
        <v>-1.3939999999999999</v>
      </c>
      <c r="M102" s="26">
        <v>-7.4880000000000004</v>
      </c>
      <c r="N102" s="26"/>
      <c r="O102" s="26"/>
      <c r="P102" s="26"/>
      <c r="Q102" s="20"/>
      <c r="R102" s="24"/>
    </row>
    <row r="103" s="3" customFormat="1">
      <c r="A103" s="16" t="s">
        <v>135</v>
      </c>
      <c r="B103" s="26">
        <v>432</v>
      </c>
      <c r="C103" s="24">
        <f t="shared" si="2"/>
        <v>513.22614045618013</v>
      </c>
      <c r="D103" s="20">
        <v>6.9027611044417767e-003</v>
      </c>
      <c r="E103" s="20" t="s">
        <v>59</v>
      </c>
      <c r="F103" s="25" t="s">
        <v>60</v>
      </c>
      <c r="G103" s="16"/>
      <c r="H103" s="21" t="s">
        <v>112</v>
      </c>
      <c r="I103" s="16">
        <v>0</v>
      </c>
      <c r="J103" s="16">
        <v>94</v>
      </c>
      <c r="K103" s="16" t="s">
        <v>29</v>
      </c>
      <c r="L103" s="26">
        <v>-1.431</v>
      </c>
      <c r="M103" s="26">
        <v>-7.3380000000000001</v>
      </c>
      <c r="N103" s="26"/>
      <c r="O103" s="26"/>
      <c r="P103" s="26"/>
      <c r="Q103" s="20"/>
      <c r="R103" s="24"/>
    </row>
    <row r="104" s="3" customFormat="1">
      <c r="A104" s="16" t="s">
        <v>136</v>
      </c>
      <c r="B104" s="26">
        <v>430</v>
      </c>
      <c r="C104" s="24">
        <f t="shared" si="2"/>
        <v>513.23994597838896</v>
      </c>
      <c r="D104" s="20">
        <v>6.9027611044417767e-003</v>
      </c>
      <c r="E104" s="20" t="s">
        <v>59</v>
      </c>
      <c r="F104" s="25" t="s">
        <v>60</v>
      </c>
      <c r="G104" s="16"/>
      <c r="H104" s="21" t="s">
        <v>112</v>
      </c>
      <c r="I104" s="16">
        <v>0</v>
      </c>
      <c r="J104" s="16">
        <v>94</v>
      </c>
      <c r="K104" s="16" t="s">
        <v>29</v>
      </c>
      <c r="L104" s="26">
        <v>-1.333</v>
      </c>
      <c r="M104" s="26">
        <v>-7.0339999999999998</v>
      </c>
      <c r="N104" s="26"/>
      <c r="O104" s="26">
        <v>47.756309622170335</v>
      </c>
      <c r="P104" s="26"/>
      <c r="Q104" s="20"/>
      <c r="R104" s="24"/>
    </row>
    <row r="105" s="3" customFormat="1">
      <c r="A105" s="16" t="s">
        <v>137</v>
      </c>
      <c r="B105" s="26">
        <v>428</v>
      </c>
      <c r="C105" s="24">
        <f t="shared" si="2"/>
        <v>513.25375150059779</v>
      </c>
      <c r="D105" s="20">
        <v>6.9027611044417767e-003</v>
      </c>
      <c r="E105" s="20" t="s">
        <v>59</v>
      </c>
      <c r="F105" s="25" t="s">
        <v>60</v>
      </c>
      <c r="G105" s="16"/>
      <c r="H105" s="21" t="s">
        <v>112</v>
      </c>
      <c r="I105" s="16">
        <v>0</v>
      </c>
      <c r="J105" s="16">
        <v>94</v>
      </c>
      <c r="K105" s="16" t="s">
        <v>29</v>
      </c>
      <c r="L105" s="26">
        <v>-1.0640000000000001</v>
      </c>
      <c r="M105" s="26">
        <v>-7.056</v>
      </c>
      <c r="N105" s="26"/>
      <c r="O105" s="26"/>
      <c r="P105" s="26"/>
      <c r="Q105" s="20"/>
      <c r="R105" s="24"/>
    </row>
    <row r="106" s="3" customFormat="1">
      <c r="A106" s="16" t="s">
        <v>138</v>
      </c>
      <c r="B106" s="26">
        <v>426</v>
      </c>
      <c r="C106" s="24">
        <f t="shared" si="2"/>
        <v>513.26755702280661</v>
      </c>
      <c r="D106" s="20">
        <v>6.9027611044417767e-003</v>
      </c>
      <c r="E106" s="20" t="s">
        <v>59</v>
      </c>
      <c r="F106" s="25" t="s">
        <v>60</v>
      </c>
      <c r="G106" s="16"/>
      <c r="H106" s="21" t="s">
        <v>112</v>
      </c>
      <c r="I106" s="16">
        <v>0</v>
      </c>
      <c r="J106" s="16">
        <v>94</v>
      </c>
      <c r="K106" s="16" t="s">
        <v>29</v>
      </c>
      <c r="L106" s="26">
        <v>-0.65800000000000003</v>
      </c>
      <c r="M106" s="26">
        <v>-6.048</v>
      </c>
      <c r="N106" s="26"/>
      <c r="O106" s="26">
        <v>49.460289953646097</v>
      </c>
      <c r="P106" s="26"/>
      <c r="Q106" s="20"/>
      <c r="R106" s="24"/>
    </row>
    <row r="107" s="3" customFormat="1">
      <c r="A107" s="16" t="s">
        <v>139</v>
      </c>
      <c r="B107" s="26">
        <v>424</v>
      </c>
      <c r="C107" s="24">
        <f t="shared" si="2"/>
        <v>513.28136254501544</v>
      </c>
      <c r="D107" s="20">
        <v>6.9027611044417767e-003</v>
      </c>
      <c r="E107" s="20" t="s">
        <v>59</v>
      </c>
      <c r="F107" s="25" t="s">
        <v>60</v>
      </c>
      <c r="G107" s="16"/>
      <c r="H107" s="21" t="s">
        <v>112</v>
      </c>
      <c r="I107" s="16">
        <v>0</v>
      </c>
      <c r="J107" s="16">
        <v>94</v>
      </c>
      <c r="K107" s="16" t="s">
        <v>29</v>
      </c>
      <c r="L107" s="26">
        <v>-0.98799999999999999</v>
      </c>
      <c r="M107" s="26">
        <v>-6.5679999999999996</v>
      </c>
      <c r="N107" s="26"/>
      <c r="O107" s="26"/>
      <c r="P107" s="26"/>
      <c r="Q107" s="20"/>
      <c r="R107" s="24"/>
    </row>
    <row r="108" s="3" customFormat="1">
      <c r="A108" s="16" t="s">
        <v>140</v>
      </c>
      <c r="B108" s="26">
        <v>421.89999999999998</v>
      </c>
      <c r="C108" s="24">
        <f t="shared" si="2"/>
        <v>513.29585834333477</v>
      </c>
      <c r="D108" s="20">
        <v>6.9027611044417767e-003</v>
      </c>
      <c r="E108" s="20" t="s">
        <v>59</v>
      </c>
      <c r="F108" s="25" t="s">
        <v>60</v>
      </c>
      <c r="G108" s="16"/>
      <c r="H108" s="21" t="s">
        <v>112</v>
      </c>
      <c r="I108" s="16">
        <v>0</v>
      </c>
      <c r="J108" s="16">
        <v>94</v>
      </c>
      <c r="K108" s="16" t="s">
        <v>29</v>
      </c>
      <c r="L108" s="26">
        <v>-1.071</v>
      </c>
      <c r="M108" s="26">
        <v>-6.3920000000000003</v>
      </c>
      <c r="N108" s="26">
        <v>30.27</v>
      </c>
      <c r="O108" s="26">
        <v>134.41115857728363</v>
      </c>
      <c r="P108" s="23">
        <v>86.245124999999987</v>
      </c>
      <c r="Q108" s="27">
        <v>3.8612781403534503e-002</v>
      </c>
      <c r="R108" s="28">
        <v>3.419247407904287e-002</v>
      </c>
    </row>
    <row r="109" s="3" customFormat="1">
      <c r="A109" s="16" t="s">
        <v>141</v>
      </c>
      <c r="B109" s="26">
        <v>419.89999999999998</v>
      </c>
      <c r="C109" s="24">
        <f t="shared" si="2"/>
        <v>513.3096638655436</v>
      </c>
      <c r="D109" s="20">
        <v>6.9027611044417767e-003</v>
      </c>
      <c r="E109" s="20" t="s">
        <v>59</v>
      </c>
      <c r="F109" s="25" t="s">
        <v>60</v>
      </c>
      <c r="G109" s="16"/>
      <c r="H109" s="21" t="s">
        <v>112</v>
      </c>
      <c r="I109" s="16">
        <v>0</v>
      </c>
      <c r="J109" s="16">
        <v>94</v>
      </c>
      <c r="K109" s="16" t="s">
        <v>29</v>
      </c>
      <c r="L109" s="26">
        <v>-1.1559999999999999</v>
      </c>
      <c r="M109" s="26">
        <v>-6.5490000000000004</v>
      </c>
      <c r="N109" s="26"/>
      <c r="O109" s="26"/>
      <c r="P109" s="29"/>
      <c r="Q109" s="30"/>
      <c r="R109" s="31"/>
    </row>
    <row r="110" s="3" customFormat="1">
      <c r="A110" s="16" t="s">
        <v>142</v>
      </c>
      <c r="B110" s="26">
        <v>417.89999999999998</v>
      </c>
      <c r="C110" s="24">
        <f t="shared" si="2"/>
        <v>513.32346938775243</v>
      </c>
      <c r="D110" s="20">
        <v>6.9027611044417767e-003</v>
      </c>
      <c r="E110" s="20" t="s">
        <v>59</v>
      </c>
      <c r="F110" s="25" t="s">
        <v>60</v>
      </c>
      <c r="G110" s="16"/>
      <c r="H110" s="21" t="s">
        <v>112</v>
      </c>
      <c r="I110" s="16">
        <v>0</v>
      </c>
      <c r="J110" s="16">
        <v>94</v>
      </c>
      <c r="K110" s="16" t="s">
        <v>29</v>
      </c>
      <c r="L110" s="26">
        <v>-0.97399999999999998</v>
      </c>
      <c r="M110" s="26">
        <v>-6.3330000000000002</v>
      </c>
      <c r="N110" s="26"/>
      <c r="O110" s="26"/>
      <c r="P110" s="26"/>
      <c r="Q110" s="20"/>
      <c r="R110" s="24"/>
    </row>
    <row r="111" s="3" customFormat="1">
      <c r="A111" s="16" t="s">
        <v>143</v>
      </c>
      <c r="B111" s="26">
        <v>415.89999999999998</v>
      </c>
      <c r="C111" s="24">
        <f t="shared" si="2"/>
        <v>513.33727490996125</v>
      </c>
      <c r="D111" s="20">
        <v>6.9027611044417767e-003</v>
      </c>
      <c r="E111" s="20" t="s">
        <v>59</v>
      </c>
      <c r="F111" s="25" t="s">
        <v>60</v>
      </c>
      <c r="G111" s="16"/>
      <c r="H111" s="21" t="s">
        <v>112</v>
      </c>
      <c r="I111" s="16">
        <v>0</v>
      </c>
      <c r="J111" s="16">
        <v>94</v>
      </c>
      <c r="K111" s="16" t="s">
        <v>29</v>
      </c>
      <c r="L111" s="26">
        <v>-1.948</v>
      </c>
      <c r="M111" s="26">
        <v>-9.2520000000000007</v>
      </c>
      <c r="N111" s="26">
        <v>25.620000000000001</v>
      </c>
      <c r="O111" s="26">
        <v>307.5811486940915</v>
      </c>
      <c r="P111" s="23">
        <v>84.047335499999988</v>
      </c>
      <c r="Q111" s="27">
        <v>1.8459447088978394e-002</v>
      </c>
      <c r="R111" s="28">
        <v>3.459736522204155e-002</v>
      </c>
    </row>
    <row r="112" s="3" customFormat="1">
      <c r="A112" s="16" t="s">
        <v>144</v>
      </c>
      <c r="B112" s="26">
        <v>414.89999999999998</v>
      </c>
      <c r="C112" s="24">
        <f t="shared" si="2"/>
        <v>513.34417767106572</v>
      </c>
      <c r="D112" s="20">
        <v>6.9027611044417767e-003</v>
      </c>
      <c r="E112" s="20" t="s">
        <v>59</v>
      </c>
      <c r="F112" s="25" t="s">
        <v>60</v>
      </c>
      <c r="G112" s="16"/>
      <c r="H112" s="21" t="s">
        <v>112</v>
      </c>
      <c r="I112" s="16">
        <v>0</v>
      </c>
      <c r="J112" s="16">
        <v>94</v>
      </c>
      <c r="K112" s="16" t="s">
        <v>29</v>
      </c>
      <c r="L112" s="26">
        <v>-1.0880000000000001</v>
      </c>
      <c r="M112" s="26">
        <v>-6.3460000000000001</v>
      </c>
      <c r="N112" s="26">
        <v>27.379999999999999</v>
      </c>
      <c r="O112" s="26">
        <v>56.98219879092867</v>
      </c>
      <c r="P112" s="23">
        <v>88.27996499999999</v>
      </c>
      <c r="Q112" s="27">
        <v>4.852430161768842e-002</v>
      </c>
      <c r="R112" s="28">
        <v>3.0673765330805042e-002</v>
      </c>
    </row>
    <row r="113" s="3" customFormat="1">
      <c r="A113" s="16" t="s">
        <v>145</v>
      </c>
      <c r="B113" s="26">
        <v>412.89999999999998</v>
      </c>
      <c r="C113" s="24">
        <f t="shared" si="2"/>
        <v>513.35798319327455</v>
      </c>
      <c r="D113" s="20">
        <v>6.9027611044417767e-003</v>
      </c>
      <c r="E113" s="20" t="s">
        <v>59</v>
      </c>
      <c r="F113" s="25" t="s">
        <v>60</v>
      </c>
      <c r="G113" s="16"/>
      <c r="H113" s="21" t="s">
        <v>112</v>
      </c>
      <c r="I113" s="16">
        <v>0</v>
      </c>
      <c r="J113" s="16">
        <v>94</v>
      </c>
      <c r="K113" s="16" t="s">
        <v>29</v>
      </c>
      <c r="L113" s="26">
        <v>-0.98999999999999999</v>
      </c>
      <c r="M113" s="26">
        <v>-6.3929999999999998</v>
      </c>
      <c r="N113" s="26"/>
      <c r="O113" s="26"/>
      <c r="P113" s="26"/>
      <c r="Q113" s="20"/>
      <c r="R113" s="24"/>
    </row>
    <row r="114" s="3" customFormat="1">
      <c r="A114" s="16" t="s">
        <v>146</v>
      </c>
      <c r="B114" s="26">
        <v>410.89999999999998</v>
      </c>
      <c r="C114" s="24">
        <f t="shared" si="2"/>
        <v>513.37178871548338</v>
      </c>
      <c r="D114" s="20">
        <v>6.9027611044417767e-003</v>
      </c>
      <c r="E114" s="20" t="s">
        <v>59</v>
      </c>
      <c r="F114" s="25" t="s">
        <v>60</v>
      </c>
      <c r="G114" s="16"/>
      <c r="H114" s="21" t="s">
        <v>112</v>
      </c>
      <c r="I114" s="16">
        <v>0</v>
      </c>
      <c r="J114" s="16">
        <v>94</v>
      </c>
      <c r="K114" s="16" t="s">
        <v>29</v>
      </c>
      <c r="L114" s="26">
        <v>-1.3819999999999999</v>
      </c>
      <c r="M114" s="26">
        <v>-6.8949999999999996</v>
      </c>
      <c r="N114" s="26"/>
      <c r="O114" s="26"/>
      <c r="P114" s="26"/>
      <c r="Q114" s="20"/>
      <c r="R114" s="24"/>
    </row>
    <row r="115" s="3" customFormat="1">
      <c r="A115" s="16" t="s">
        <v>147</v>
      </c>
      <c r="B115" s="26">
        <v>408.89999999999998</v>
      </c>
      <c r="C115" s="24">
        <f t="shared" si="2"/>
        <v>513.3855942376922</v>
      </c>
      <c r="D115" s="20">
        <v>6.9027611044417767e-003</v>
      </c>
      <c r="E115" s="20" t="s">
        <v>59</v>
      </c>
      <c r="F115" s="25" t="s">
        <v>60</v>
      </c>
      <c r="G115" s="16"/>
      <c r="H115" s="21" t="s">
        <v>112</v>
      </c>
      <c r="I115" s="16">
        <v>0</v>
      </c>
      <c r="J115" s="16">
        <v>94</v>
      </c>
      <c r="K115" s="16" t="s">
        <v>29</v>
      </c>
      <c r="L115" s="26">
        <v>-1.2809999999999999</v>
      </c>
      <c r="M115" s="26">
        <v>-7.0069999999999997</v>
      </c>
      <c r="N115" s="26">
        <v>27.949999999999999</v>
      </c>
      <c r="O115" s="26">
        <v>96.173898487203417</v>
      </c>
      <c r="P115" s="23">
        <v>87.284509999999997</v>
      </c>
      <c r="Q115" s="27">
        <v>3.5582176437512589e-002</v>
      </c>
      <c r="R115" s="28">
        <v>5.064685026837755e-002</v>
      </c>
    </row>
    <row r="116" s="3" customFormat="1">
      <c r="A116" s="16" t="s">
        <v>148</v>
      </c>
      <c r="B116" s="26">
        <v>407.89999999999998</v>
      </c>
      <c r="C116" s="24">
        <f t="shared" si="2"/>
        <v>513.39249699879667</v>
      </c>
      <c r="D116" s="20">
        <v>6.9027611044417767e-003</v>
      </c>
      <c r="E116" s="20" t="s">
        <v>59</v>
      </c>
      <c r="F116" s="25" t="s">
        <v>60</v>
      </c>
      <c r="G116" s="16"/>
      <c r="H116" s="21" t="s">
        <v>112</v>
      </c>
      <c r="I116" s="16">
        <v>0</v>
      </c>
      <c r="J116" s="16">
        <v>94</v>
      </c>
      <c r="K116" s="16" t="s">
        <v>29</v>
      </c>
      <c r="L116" s="26">
        <v>-1.206</v>
      </c>
      <c r="M116" s="26">
        <v>-7.077</v>
      </c>
      <c r="N116" s="26"/>
      <c r="O116" s="26"/>
      <c r="P116" s="26"/>
      <c r="Q116" s="20"/>
      <c r="R116" s="24"/>
    </row>
    <row r="117" s="3" customFormat="1">
      <c r="A117" s="16" t="s">
        <v>149</v>
      </c>
      <c r="B117" s="26">
        <v>406.69999999999999</v>
      </c>
      <c r="C117" s="24">
        <f t="shared" si="2"/>
        <v>513.40078031212204</v>
      </c>
      <c r="D117" s="20">
        <v>6.9027611044417767e-003</v>
      </c>
      <c r="E117" s="20" t="s">
        <v>59</v>
      </c>
      <c r="F117" s="25" t="s">
        <v>60</v>
      </c>
      <c r="G117" s="16"/>
      <c r="H117" s="21" t="s">
        <v>112</v>
      </c>
      <c r="I117" s="16">
        <v>0</v>
      </c>
      <c r="J117" s="16">
        <v>94</v>
      </c>
      <c r="K117" s="16" t="s">
        <v>29</v>
      </c>
      <c r="L117" s="26">
        <v>-1.2290000000000001</v>
      </c>
      <c r="M117" s="26">
        <v>-6.7430000000000003</v>
      </c>
      <c r="N117" s="26"/>
      <c r="O117" s="26">
        <v>36.197432227195598</v>
      </c>
      <c r="P117" s="26"/>
      <c r="Q117" s="20"/>
      <c r="R117" s="24"/>
    </row>
    <row r="118" s="3" customFormat="1">
      <c r="A118" s="16" t="s">
        <v>150</v>
      </c>
      <c r="B118" s="26">
        <v>404.69999999999999</v>
      </c>
      <c r="C118" s="24">
        <f t="shared" si="2"/>
        <v>513.41458583433086</v>
      </c>
      <c r="D118" s="20">
        <v>6.9027611044417767e-003</v>
      </c>
      <c r="E118" s="20" t="s">
        <v>59</v>
      </c>
      <c r="F118" s="25" t="s">
        <v>60</v>
      </c>
      <c r="G118" s="16"/>
      <c r="H118" s="21" t="s">
        <v>112</v>
      </c>
      <c r="I118" s="16">
        <v>0</v>
      </c>
      <c r="J118" s="16">
        <v>94</v>
      </c>
      <c r="K118" s="16" t="s">
        <v>29</v>
      </c>
      <c r="L118" s="26">
        <v>-1.425</v>
      </c>
      <c r="M118" s="26">
        <v>-7.9640000000000004</v>
      </c>
      <c r="N118" s="26"/>
      <c r="O118" s="26"/>
      <c r="P118" s="26"/>
      <c r="Q118" s="20"/>
      <c r="R118" s="24"/>
    </row>
    <row r="119" s="3" customFormat="1">
      <c r="A119" s="16" t="s">
        <v>151</v>
      </c>
      <c r="B119" s="26">
        <v>403.69999999999999</v>
      </c>
      <c r="C119" s="24">
        <f t="shared" si="2"/>
        <v>513.42148859543533</v>
      </c>
      <c r="D119" s="20">
        <v>6.9027611044417767e-003</v>
      </c>
      <c r="E119" s="20" t="s">
        <v>59</v>
      </c>
      <c r="F119" s="25" t="s">
        <v>60</v>
      </c>
      <c r="G119" s="16"/>
      <c r="H119" s="21" t="s">
        <v>112</v>
      </c>
      <c r="I119" s="16">
        <v>0</v>
      </c>
      <c r="J119" s="16">
        <v>94</v>
      </c>
      <c r="K119" s="16" t="s">
        <v>29</v>
      </c>
      <c r="L119" s="26">
        <v>-1.232</v>
      </c>
      <c r="M119" s="26">
        <v>-6.7939999999999996</v>
      </c>
      <c r="N119" s="26"/>
      <c r="O119" s="26">
        <v>59.501289112798425</v>
      </c>
      <c r="P119" s="26"/>
      <c r="Q119" s="20"/>
      <c r="R119" s="24"/>
    </row>
    <row r="120" s="3" customFormat="1">
      <c r="A120" s="16" t="s">
        <v>152</v>
      </c>
      <c r="B120" s="26">
        <v>402.34999999999997</v>
      </c>
      <c r="C120" s="24">
        <f t="shared" si="2"/>
        <v>513.43080732292628</v>
      </c>
      <c r="D120" s="20">
        <v>6.9027611044417767e-003</v>
      </c>
      <c r="E120" s="20" t="s">
        <v>59</v>
      </c>
      <c r="F120" s="25" t="s">
        <v>60</v>
      </c>
      <c r="G120" s="16"/>
      <c r="H120" s="21" t="s">
        <v>112</v>
      </c>
      <c r="I120" s="16">
        <v>0</v>
      </c>
      <c r="J120" s="16">
        <v>94</v>
      </c>
      <c r="K120" s="16" t="s">
        <v>29</v>
      </c>
      <c r="L120" s="26">
        <v>-0.98399999999999999</v>
      </c>
      <c r="M120" s="26">
        <v>-6.5300000000000002</v>
      </c>
      <c r="N120" s="26">
        <v>27.18</v>
      </c>
      <c r="O120" s="26">
        <v>44.958081031610313</v>
      </c>
      <c r="P120" s="23">
        <v>88.163385000000005</v>
      </c>
      <c r="Q120" s="27">
        <v>8.3912478610811844e-002</v>
      </c>
      <c r="R120" s="28">
        <v>2.9425370826105079e-002</v>
      </c>
    </row>
    <row r="121" s="3" customFormat="1">
      <c r="A121" s="16" t="s">
        <v>153</v>
      </c>
      <c r="B121" s="26">
        <v>402.19999999999999</v>
      </c>
      <c r="C121" s="24">
        <f t="shared" si="2"/>
        <v>513.43184273709198</v>
      </c>
      <c r="D121" s="20">
        <v>6.9027611044417767e-003</v>
      </c>
      <c r="E121" s="20" t="s">
        <v>59</v>
      </c>
      <c r="F121" s="25" t="s">
        <v>60</v>
      </c>
      <c r="G121" s="16"/>
      <c r="H121" s="21" t="s">
        <v>112</v>
      </c>
      <c r="I121" s="16">
        <v>0</v>
      </c>
      <c r="J121" s="16">
        <v>94</v>
      </c>
      <c r="K121" s="16" t="s">
        <v>29</v>
      </c>
      <c r="L121" s="26">
        <v>-1.2569999999999999</v>
      </c>
      <c r="M121" s="26">
        <v>-7.1879999999999997</v>
      </c>
      <c r="N121" s="26"/>
      <c r="O121" s="26"/>
      <c r="P121" s="26"/>
      <c r="Q121" s="20"/>
      <c r="R121" s="24"/>
    </row>
    <row r="122" s="3" customFormat="1">
      <c r="A122" s="16" t="s">
        <v>154</v>
      </c>
      <c r="B122" s="26">
        <v>401.69999999999999</v>
      </c>
      <c r="C122" s="24">
        <f t="shared" si="2"/>
        <v>513.43529411764416</v>
      </c>
      <c r="D122" s="20">
        <v>6.9027611044417767e-003</v>
      </c>
      <c r="E122" s="20" t="s">
        <v>59</v>
      </c>
      <c r="F122" s="25" t="s">
        <v>60</v>
      </c>
      <c r="G122" s="16"/>
      <c r="H122" s="21" t="s">
        <v>112</v>
      </c>
      <c r="I122" s="16">
        <v>0</v>
      </c>
      <c r="J122" s="16">
        <v>94</v>
      </c>
      <c r="K122" s="16" t="s">
        <v>29</v>
      </c>
      <c r="L122" s="26">
        <v>-1.1339999999999999</v>
      </c>
      <c r="M122" s="26">
        <v>-6.6509999999999998</v>
      </c>
      <c r="N122" s="26"/>
      <c r="O122" s="26"/>
      <c r="P122" s="26"/>
      <c r="Q122" s="20"/>
      <c r="R122" s="24"/>
    </row>
    <row r="123" s="3" customFormat="1">
      <c r="A123" s="16" t="s">
        <v>155</v>
      </c>
      <c r="B123" s="26">
        <v>401.30000000000001</v>
      </c>
      <c r="C123" s="24">
        <f t="shared" si="2"/>
        <v>513.43805522208595</v>
      </c>
      <c r="D123" s="20">
        <v>6.9027611044417767e-003</v>
      </c>
      <c r="E123" s="20" t="s">
        <v>59</v>
      </c>
      <c r="F123" s="25" t="s">
        <v>60</v>
      </c>
      <c r="G123" s="16"/>
      <c r="H123" s="21" t="s">
        <v>112</v>
      </c>
      <c r="I123" s="16">
        <v>0</v>
      </c>
      <c r="J123" s="16">
        <v>94</v>
      </c>
      <c r="K123" s="16" t="s">
        <v>29</v>
      </c>
      <c r="L123" s="26">
        <v>-1.1299999999999999</v>
      </c>
      <c r="M123" s="26">
        <v>-6.7359999999999998</v>
      </c>
      <c r="N123" s="26"/>
      <c r="O123" s="26">
        <v>34.913964650893867</v>
      </c>
      <c r="P123" s="26"/>
      <c r="Q123" s="20"/>
      <c r="R123" s="24"/>
    </row>
    <row r="124" s="3" customFormat="1">
      <c r="A124" s="16" t="s">
        <v>156</v>
      </c>
      <c r="B124" s="26">
        <v>401</v>
      </c>
      <c r="C124" s="24">
        <f t="shared" si="2"/>
        <v>513.44012605041723</v>
      </c>
      <c r="D124" s="20">
        <v>6.9027611044417767e-003</v>
      </c>
      <c r="E124" s="20" t="s">
        <v>59</v>
      </c>
      <c r="F124" s="25" t="s">
        <v>60</v>
      </c>
      <c r="G124" s="16"/>
      <c r="H124" s="21" t="s">
        <v>112</v>
      </c>
      <c r="I124" s="16">
        <v>0</v>
      </c>
      <c r="J124" s="16">
        <v>94</v>
      </c>
      <c r="K124" s="16" t="s">
        <v>29</v>
      </c>
      <c r="L124" s="26">
        <v>-1.036</v>
      </c>
      <c r="M124" s="26">
        <v>-6.7610000000000001</v>
      </c>
      <c r="N124" s="26"/>
      <c r="O124" s="26"/>
      <c r="P124" s="26"/>
      <c r="Q124" s="20"/>
      <c r="R124" s="24"/>
    </row>
    <row r="125" s="3" customFormat="1">
      <c r="A125" s="16" t="s">
        <v>157</v>
      </c>
      <c r="B125" s="26">
        <v>400.5</v>
      </c>
      <c r="C125" s="24">
        <f t="shared" si="2"/>
        <v>513.44357743096941</v>
      </c>
      <c r="D125" s="20">
        <v>6.9027611044417767e-003</v>
      </c>
      <c r="E125" s="20" t="s">
        <v>59</v>
      </c>
      <c r="F125" s="25" t="s">
        <v>60</v>
      </c>
      <c r="G125" s="16"/>
      <c r="H125" s="21" t="s">
        <v>112</v>
      </c>
      <c r="I125" s="16">
        <v>0</v>
      </c>
      <c r="J125" s="16">
        <v>94</v>
      </c>
      <c r="K125" s="16" t="s">
        <v>29</v>
      </c>
      <c r="L125" s="26">
        <v>-1.157</v>
      </c>
      <c r="M125" s="26">
        <v>-6.7919999999999998</v>
      </c>
      <c r="N125" s="26"/>
      <c r="O125" s="26">
        <v>62.774250293133321</v>
      </c>
      <c r="P125" s="23">
        <v>87.975090000000009</v>
      </c>
      <c r="Q125" s="27">
        <v>4.2536778653627282e-002</v>
      </c>
      <c r="R125" s="28">
        <v>3.4543302929342587e-002</v>
      </c>
    </row>
    <row r="126" s="3" customFormat="1">
      <c r="A126" s="16" t="s">
        <v>158</v>
      </c>
      <c r="B126" s="26">
        <v>400</v>
      </c>
      <c r="C126" s="24">
        <f t="shared" si="2"/>
        <v>513.44702881152159</v>
      </c>
      <c r="D126" s="20">
        <v>6.9027611044417767e-003</v>
      </c>
      <c r="E126" s="20" t="s">
        <v>59</v>
      </c>
      <c r="F126" s="25" t="s">
        <v>60</v>
      </c>
      <c r="G126" s="16"/>
      <c r="H126" s="21" t="s">
        <v>112</v>
      </c>
      <c r="I126" s="16">
        <v>0</v>
      </c>
      <c r="J126" s="16">
        <v>94</v>
      </c>
      <c r="K126" s="16" t="s">
        <v>29</v>
      </c>
      <c r="L126" s="26">
        <v>-1.0669999999999999</v>
      </c>
      <c r="M126" s="26">
        <v>-6.6589999999999998</v>
      </c>
      <c r="N126" s="26"/>
      <c r="O126" s="26"/>
      <c r="P126" s="26"/>
      <c r="Q126" s="20"/>
      <c r="R126" s="24"/>
    </row>
    <row r="127" s="3" customFormat="1">
      <c r="A127" s="16" t="s">
        <v>159</v>
      </c>
      <c r="B127" s="26">
        <v>399.69999999999999</v>
      </c>
      <c r="C127" s="24">
        <f t="shared" si="2"/>
        <v>513.44909963985288</v>
      </c>
      <c r="D127" s="20">
        <v>6.9027611044417767e-003</v>
      </c>
      <c r="E127" s="20" t="s">
        <v>59</v>
      </c>
      <c r="F127" s="25" t="s">
        <v>60</v>
      </c>
      <c r="G127" s="21"/>
      <c r="H127" s="21" t="s">
        <v>112</v>
      </c>
      <c r="I127" s="16">
        <v>0</v>
      </c>
      <c r="J127" s="16">
        <v>94</v>
      </c>
      <c r="K127" s="16" t="s">
        <v>29</v>
      </c>
      <c r="L127" s="26">
        <v>-1.111</v>
      </c>
      <c r="M127" s="26">
        <v>-7.109</v>
      </c>
      <c r="N127" s="26"/>
      <c r="O127" s="26">
        <v>59.526189137835686</v>
      </c>
      <c r="P127" s="26"/>
      <c r="Q127" s="20"/>
      <c r="R127" s="24"/>
    </row>
    <row r="128" s="3" customFormat="1">
      <c r="A128" s="16" t="s">
        <v>160</v>
      </c>
      <c r="B128" s="26">
        <v>399.5</v>
      </c>
      <c r="C128" s="24">
        <f t="shared" si="2"/>
        <v>513.45048019207377</v>
      </c>
      <c r="D128" s="20">
        <v>6.9027611044417767e-003</v>
      </c>
      <c r="E128" s="20" t="s">
        <v>59</v>
      </c>
      <c r="F128" s="25" t="s">
        <v>60</v>
      </c>
      <c r="G128" s="16"/>
      <c r="H128" s="21" t="s">
        <v>112</v>
      </c>
      <c r="I128" s="16">
        <v>0</v>
      </c>
      <c r="J128" s="16">
        <v>94</v>
      </c>
      <c r="K128" s="16" t="s">
        <v>29</v>
      </c>
      <c r="L128" s="26">
        <v>-1.1659999999999999</v>
      </c>
      <c r="M128" s="26">
        <v>-7.1079999999999997</v>
      </c>
      <c r="N128" s="26"/>
      <c r="O128" s="26"/>
      <c r="P128" s="26"/>
      <c r="Q128" s="20"/>
      <c r="R128" s="24"/>
    </row>
    <row r="129" s="3" customFormat="1">
      <c r="A129" s="16" t="s">
        <v>161</v>
      </c>
      <c r="B129" s="26">
        <v>399.19999999999999</v>
      </c>
      <c r="C129" s="24">
        <f t="shared" si="2"/>
        <v>513.45255102040505</v>
      </c>
      <c r="D129" s="20">
        <v>6.9027611044417767e-003</v>
      </c>
      <c r="E129" s="20" t="s">
        <v>59</v>
      </c>
      <c r="F129" s="25" t="s">
        <v>60</v>
      </c>
      <c r="G129" s="16"/>
      <c r="H129" s="21" t="s">
        <v>112</v>
      </c>
      <c r="I129" s="16">
        <v>0</v>
      </c>
      <c r="J129" s="16">
        <v>94</v>
      </c>
      <c r="K129" s="16" t="s">
        <v>29</v>
      </c>
      <c r="L129" s="26">
        <v>-1.1479999999999999</v>
      </c>
      <c r="M129" s="26">
        <v>-6.9500000000000002</v>
      </c>
      <c r="N129" s="26"/>
      <c r="O129" s="26"/>
      <c r="P129" s="26"/>
      <c r="Q129" s="20"/>
      <c r="R129" s="24"/>
    </row>
    <row r="130" s="3" customFormat="1">
      <c r="A130" s="16" t="s">
        <v>162</v>
      </c>
      <c r="B130" s="26">
        <v>398.69999999999999</v>
      </c>
      <c r="C130" s="24">
        <f t="shared" si="2"/>
        <v>513.45600240095723</v>
      </c>
      <c r="D130" s="20">
        <v>6.9027611044417767e-003</v>
      </c>
      <c r="E130" s="20" t="s">
        <v>59</v>
      </c>
      <c r="F130" s="25" t="s">
        <v>60</v>
      </c>
      <c r="G130" s="16"/>
      <c r="H130" s="21" t="s">
        <v>112</v>
      </c>
      <c r="I130" s="16">
        <v>0</v>
      </c>
      <c r="J130" s="16">
        <v>94</v>
      </c>
      <c r="K130" s="16" t="s">
        <v>29</v>
      </c>
      <c r="L130" s="26">
        <v>-0.75900000000000001</v>
      </c>
      <c r="M130" s="26">
        <v>-6.202</v>
      </c>
      <c r="N130" s="26"/>
      <c r="O130" s="26">
        <v>41.045041025295127</v>
      </c>
      <c r="P130" s="26"/>
      <c r="Q130" s="20"/>
      <c r="R130" s="24"/>
    </row>
    <row r="131" s="3" customFormat="1">
      <c r="A131" s="16" t="s">
        <v>163</v>
      </c>
      <c r="B131" s="16">
        <v>395.19999999999999</v>
      </c>
      <c r="C131" s="24">
        <f t="shared" si="2"/>
        <v>513.48016206482282</v>
      </c>
      <c r="D131" s="20">
        <v>6.9027611044417767e-003</v>
      </c>
      <c r="E131" s="20" t="s">
        <v>59</v>
      </c>
      <c r="F131" s="25" t="s">
        <v>60</v>
      </c>
      <c r="G131" s="16"/>
      <c r="H131" s="21" t="s">
        <v>112</v>
      </c>
      <c r="I131" s="16">
        <v>0</v>
      </c>
      <c r="J131" s="16">
        <v>94</v>
      </c>
      <c r="K131" s="16" t="s">
        <v>29</v>
      </c>
      <c r="L131" s="26">
        <v>0.51000000000000001</v>
      </c>
      <c r="M131" s="26"/>
      <c r="N131" s="26"/>
      <c r="O131" s="26"/>
      <c r="P131" s="26"/>
      <c r="Q131" s="20"/>
      <c r="R131" s="24"/>
    </row>
    <row r="132" s="3" customFormat="1">
      <c r="A132" s="16" t="s">
        <v>164</v>
      </c>
      <c r="B132" s="16">
        <v>394.19999999999999</v>
      </c>
      <c r="C132" s="24">
        <f t="shared" si="2"/>
        <v>513.48706482592729</v>
      </c>
      <c r="D132" s="20">
        <v>6.9027611044417767e-003</v>
      </c>
      <c r="E132" s="20" t="s">
        <v>59</v>
      </c>
      <c r="F132" s="25" t="s">
        <v>60</v>
      </c>
      <c r="G132" s="16"/>
      <c r="H132" s="21" t="s">
        <v>112</v>
      </c>
      <c r="I132" s="16">
        <v>0</v>
      </c>
      <c r="J132" s="16">
        <v>94</v>
      </c>
      <c r="K132" s="16" t="s">
        <v>29</v>
      </c>
      <c r="L132" s="26">
        <v>1.48</v>
      </c>
      <c r="M132" s="26"/>
      <c r="N132" s="26"/>
      <c r="O132" s="26"/>
      <c r="P132" s="26"/>
      <c r="Q132" s="20"/>
      <c r="R132" s="24"/>
    </row>
    <row r="133" s="3" customFormat="1">
      <c r="A133" s="16" t="s">
        <v>165</v>
      </c>
      <c r="B133" s="16">
        <v>393.19999999999999</v>
      </c>
      <c r="C133" s="24">
        <f t="shared" si="2"/>
        <v>513.49396758703176</v>
      </c>
      <c r="D133" s="20">
        <v>6.9027611044417767e-003</v>
      </c>
      <c r="E133" s="20" t="s">
        <v>59</v>
      </c>
      <c r="F133" s="25" t="s">
        <v>60</v>
      </c>
      <c r="G133" s="16"/>
      <c r="H133" s="21" t="s">
        <v>112</v>
      </c>
      <c r="I133" s="16">
        <v>0</v>
      </c>
      <c r="J133" s="16">
        <v>94</v>
      </c>
      <c r="K133" s="16" t="s">
        <v>29</v>
      </c>
      <c r="L133" s="26">
        <v>1.1599999999999999</v>
      </c>
      <c r="M133" s="26"/>
      <c r="N133" s="26"/>
      <c r="O133" s="26"/>
      <c r="P133" s="26"/>
      <c r="Q133" s="20"/>
      <c r="R133" s="24"/>
    </row>
    <row r="134" s="3" customFormat="1">
      <c r="A134" s="16" t="s">
        <v>166</v>
      </c>
      <c r="B134" s="16">
        <v>392.19999999999999</v>
      </c>
      <c r="C134" s="24">
        <f t="shared" ref="C134:C197" si="3">C133+(B133-B134)*D134</f>
        <v>513.50087034813623</v>
      </c>
      <c r="D134" s="20">
        <v>6.9027611044417767e-003</v>
      </c>
      <c r="E134" s="20" t="s">
        <v>59</v>
      </c>
      <c r="F134" s="25" t="s">
        <v>60</v>
      </c>
      <c r="G134" s="16"/>
      <c r="H134" s="21" t="s">
        <v>112</v>
      </c>
      <c r="I134" s="16">
        <v>0</v>
      </c>
      <c r="J134" s="16">
        <v>94</v>
      </c>
      <c r="K134" s="16" t="s">
        <v>29</v>
      </c>
      <c r="L134" s="26">
        <v>1.5600000000000001</v>
      </c>
      <c r="M134" s="26"/>
      <c r="N134" s="26"/>
      <c r="O134" s="26"/>
      <c r="P134" s="26"/>
      <c r="Q134" s="20"/>
      <c r="R134" s="24"/>
    </row>
    <row r="135" s="3" customFormat="1">
      <c r="A135" s="16" t="s">
        <v>167</v>
      </c>
      <c r="B135" s="16">
        <v>391.19999999999999</v>
      </c>
      <c r="C135" s="24">
        <f t="shared" si="3"/>
        <v>513.5077731092407</v>
      </c>
      <c r="D135" s="20">
        <v>6.9027611044417767e-003</v>
      </c>
      <c r="E135" s="20" t="s">
        <v>59</v>
      </c>
      <c r="F135" s="25" t="s">
        <v>60</v>
      </c>
      <c r="G135" s="16"/>
      <c r="H135" s="21" t="s">
        <v>112</v>
      </c>
      <c r="I135" s="16">
        <v>0</v>
      </c>
      <c r="J135" s="16">
        <v>94</v>
      </c>
      <c r="K135" s="16" t="s">
        <v>29</v>
      </c>
      <c r="L135" s="26">
        <v>1.76</v>
      </c>
      <c r="M135" s="26"/>
      <c r="N135" s="26"/>
      <c r="O135" s="26"/>
      <c r="P135" s="26"/>
      <c r="Q135" s="20"/>
      <c r="R135" s="24"/>
    </row>
    <row r="136" s="3" customFormat="1">
      <c r="A136" s="16" t="s">
        <v>168</v>
      </c>
      <c r="B136" s="16">
        <v>390.19999999999999</v>
      </c>
      <c r="C136" s="24">
        <f t="shared" si="3"/>
        <v>513.51467587034517</v>
      </c>
      <c r="D136" s="20">
        <v>6.9027611044417767e-003</v>
      </c>
      <c r="E136" s="20" t="s">
        <v>59</v>
      </c>
      <c r="F136" s="25" t="s">
        <v>60</v>
      </c>
      <c r="G136" s="16"/>
      <c r="H136" s="21" t="s">
        <v>112</v>
      </c>
      <c r="I136" s="16">
        <v>0</v>
      </c>
      <c r="J136" s="16">
        <v>94</v>
      </c>
      <c r="K136" s="16" t="s">
        <v>29</v>
      </c>
      <c r="L136" s="26">
        <v>1.8999999999999999</v>
      </c>
      <c r="M136" s="26"/>
      <c r="N136" s="26"/>
      <c r="O136" s="26"/>
      <c r="P136" s="26"/>
      <c r="Q136" s="20"/>
      <c r="R136" s="24"/>
    </row>
    <row r="137" s="3" customFormat="1">
      <c r="A137" s="16" t="s">
        <v>169</v>
      </c>
      <c r="B137" s="16">
        <v>389.19999999999999</v>
      </c>
      <c r="C137" s="24">
        <f t="shared" si="3"/>
        <v>513.52157863144964</v>
      </c>
      <c r="D137" s="20">
        <v>6.9027611044417767e-003</v>
      </c>
      <c r="E137" s="20" t="s">
        <v>59</v>
      </c>
      <c r="F137" s="25" t="s">
        <v>60</v>
      </c>
      <c r="G137" s="16"/>
      <c r="H137" s="21" t="s">
        <v>112</v>
      </c>
      <c r="I137" s="16">
        <v>0</v>
      </c>
      <c r="J137" s="16">
        <v>94</v>
      </c>
      <c r="K137" s="16" t="s">
        <v>29</v>
      </c>
      <c r="L137" s="26">
        <v>2.2749999999999999</v>
      </c>
      <c r="M137" s="26"/>
      <c r="N137" s="26"/>
      <c r="O137" s="26"/>
      <c r="P137" s="26"/>
      <c r="Q137" s="20"/>
      <c r="R137" s="24"/>
    </row>
    <row r="138" s="3" customFormat="1">
      <c r="A138" s="16" t="s">
        <v>170</v>
      </c>
      <c r="B138" s="16">
        <v>388.19999999999999</v>
      </c>
      <c r="C138" s="24">
        <f t="shared" si="3"/>
        <v>513.52848139255411</v>
      </c>
      <c r="D138" s="20">
        <v>6.9027611044417767e-003</v>
      </c>
      <c r="E138" s="20" t="s">
        <v>59</v>
      </c>
      <c r="F138" s="25" t="s">
        <v>60</v>
      </c>
      <c r="G138" s="16"/>
      <c r="H138" s="21" t="s">
        <v>112</v>
      </c>
      <c r="I138" s="16">
        <v>0</v>
      </c>
      <c r="J138" s="16">
        <v>94</v>
      </c>
      <c r="K138" s="16" t="s">
        <v>29</v>
      </c>
      <c r="L138" s="26">
        <v>1.5700000000000001</v>
      </c>
      <c r="M138" s="26"/>
      <c r="N138" s="26"/>
      <c r="O138" s="26"/>
      <c r="P138" s="26"/>
      <c r="Q138" s="20"/>
      <c r="R138" s="24"/>
    </row>
    <row r="139" s="3" customFormat="1">
      <c r="A139" s="16" t="s">
        <v>171</v>
      </c>
      <c r="B139" s="16">
        <v>387.19999999999999</v>
      </c>
      <c r="C139" s="24">
        <f t="shared" si="3"/>
        <v>513.53538415365858</v>
      </c>
      <c r="D139" s="20">
        <v>6.9027611044417767e-003</v>
      </c>
      <c r="E139" s="20" t="s">
        <v>59</v>
      </c>
      <c r="F139" s="25" t="s">
        <v>60</v>
      </c>
      <c r="G139" s="16"/>
      <c r="H139" s="21" t="s">
        <v>112</v>
      </c>
      <c r="I139" s="16">
        <v>0</v>
      </c>
      <c r="J139" s="16">
        <v>94</v>
      </c>
      <c r="K139" s="16" t="s">
        <v>29</v>
      </c>
      <c r="L139" s="26">
        <v>1.603</v>
      </c>
      <c r="M139" s="26"/>
      <c r="N139" s="26"/>
      <c r="O139" s="26"/>
      <c r="P139" s="26"/>
      <c r="Q139" s="20"/>
      <c r="R139" s="24"/>
    </row>
    <row r="140" s="3" customFormat="1">
      <c r="A140" s="16" t="s">
        <v>172</v>
      </c>
      <c r="B140" s="16">
        <v>386.19999999999999</v>
      </c>
      <c r="C140" s="24">
        <f t="shared" si="3"/>
        <v>513.54228691476305</v>
      </c>
      <c r="D140" s="20">
        <v>6.9027611044417767e-003</v>
      </c>
      <c r="E140" s="20" t="s">
        <v>59</v>
      </c>
      <c r="F140" s="25" t="s">
        <v>60</v>
      </c>
      <c r="G140" s="16"/>
      <c r="H140" s="21" t="s">
        <v>112</v>
      </c>
      <c r="I140" s="16">
        <v>0</v>
      </c>
      <c r="J140" s="16">
        <v>94</v>
      </c>
      <c r="K140" s="16" t="s">
        <v>29</v>
      </c>
      <c r="L140" s="26">
        <v>2.028</v>
      </c>
      <c r="M140" s="26"/>
      <c r="N140" s="26"/>
      <c r="O140" s="26"/>
      <c r="P140" s="26"/>
      <c r="Q140" s="20"/>
      <c r="R140" s="24"/>
    </row>
    <row r="141" s="3" customFormat="1">
      <c r="A141" s="16" t="s">
        <v>173</v>
      </c>
      <c r="B141" s="16">
        <v>385.19999999999999</v>
      </c>
      <c r="C141" s="24">
        <f t="shared" si="3"/>
        <v>513.54918967586752</v>
      </c>
      <c r="D141" s="20">
        <v>6.9027611044417767e-003</v>
      </c>
      <c r="E141" s="20" t="s">
        <v>59</v>
      </c>
      <c r="F141" s="25" t="s">
        <v>60</v>
      </c>
      <c r="G141" s="16"/>
      <c r="H141" s="21" t="s">
        <v>112</v>
      </c>
      <c r="I141" s="16">
        <v>0</v>
      </c>
      <c r="J141" s="16">
        <v>94</v>
      </c>
      <c r="K141" s="16" t="s">
        <v>29</v>
      </c>
      <c r="L141" s="26">
        <v>1.667</v>
      </c>
      <c r="M141" s="26"/>
      <c r="N141" s="26"/>
      <c r="O141" s="26"/>
      <c r="P141" s="26"/>
      <c r="Q141" s="20"/>
      <c r="R141" s="24"/>
    </row>
    <row r="142" s="3" customFormat="1">
      <c r="A142" s="16" t="s">
        <v>174</v>
      </c>
      <c r="B142" s="16">
        <v>384.19999999999999</v>
      </c>
      <c r="C142" s="24">
        <f t="shared" si="3"/>
        <v>513.55609243697199</v>
      </c>
      <c r="D142" s="20">
        <v>6.9027611044417767e-003</v>
      </c>
      <c r="E142" s="20" t="s">
        <v>59</v>
      </c>
      <c r="F142" s="25" t="s">
        <v>60</v>
      </c>
      <c r="G142" s="16"/>
      <c r="H142" s="21" t="s">
        <v>112</v>
      </c>
      <c r="I142" s="16">
        <v>0</v>
      </c>
      <c r="J142" s="16">
        <v>94</v>
      </c>
      <c r="K142" s="16" t="s">
        <v>29</v>
      </c>
      <c r="L142" s="26">
        <v>1.9119999999999999</v>
      </c>
      <c r="M142" s="26"/>
      <c r="N142" s="26"/>
      <c r="O142" s="26"/>
      <c r="P142" s="26"/>
      <c r="Q142" s="20"/>
      <c r="R142" s="24"/>
    </row>
    <row r="143" s="3" customFormat="1">
      <c r="A143" s="16" t="s">
        <v>175</v>
      </c>
      <c r="B143" s="16">
        <v>383.19999999999999</v>
      </c>
      <c r="C143" s="24">
        <f t="shared" si="3"/>
        <v>513.56299519807646</v>
      </c>
      <c r="D143" s="20">
        <v>6.9027611044417767e-003</v>
      </c>
      <c r="E143" s="20" t="s">
        <v>59</v>
      </c>
      <c r="F143" s="25" t="s">
        <v>60</v>
      </c>
      <c r="G143" s="16"/>
      <c r="H143" s="21" t="s">
        <v>112</v>
      </c>
      <c r="I143" s="16">
        <v>0</v>
      </c>
      <c r="J143" s="16">
        <v>94</v>
      </c>
      <c r="K143" s="16" t="s">
        <v>29</v>
      </c>
      <c r="L143" s="26">
        <v>1.429</v>
      </c>
      <c r="M143" s="26"/>
      <c r="N143" s="26"/>
      <c r="O143" s="26"/>
      <c r="P143" s="26"/>
      <c r="Q143" s="20"/>
      <c r="R143" s="24"/>
    </row>
    <row r="144" s="3" customFormat="1">
      <c r="A144" s="16" t="s">
        <v>176</v>
      </c>
      <c r="B144" s="16">
        <v>382.19999999999999</v>
      </c>
      <c r="C144" s="24">
        <f t="shared" si="3"/>
        <v>513.56989795918093</v>
      </c>
      <c r="D144" s="20">
        <v>6.9027611044417767e-003</v>
      </c>
      <c r="E144" s="20" t="s">
        <v>59</v>
      </c>
      <c r="F144" s="25" t="s">
        <v>60</v>
      </c>
      <c r="G144" s="16"/>
      <c r="H144" s="21" t="s">
        <v>112</v>
      </c>
      <c r="I144" s="16">
        <v>0</v>
      </c>
      <c r="J144" s="16">
        <v>94</v>
      </c>
      <c r="K144" s="16" t="s">
        <v>29</v>
      </c>
      <c r="L144" s="26">
        <v>1.8400000000000001</v>
      </c>
      <c r="M144" s="26"/>
      <c r="N144" s="26"/>
      <c r="O144" s="26"/>
      <c r="P144" s="26"/>
      <c r="Q144" s="20"/>
      <c r="R144" s="24"/>
    </row>
    <row r="145" s="3" customFormat="1">
      <c r="A145" s="16" t="s">
        <v>177</v>
      </c>
      <c r="B145" s="16">
        <v>381.19999999999999</v>
      </c>
      <c r="C145" s="24">
        <f t="shared" si="3"/>
        <v>513.57680072028541</v>
      </c>
      <c r="D145" s="20">
        <v>6.9027611044417767e-003</v>
      </c>
      <c r="E145" s="20" t="s">
        <v>59</v>
      </c>
      <c r="F145" s="25" t="s">
        <v>60</v>
      </c>
      <c r="G145" s="16"/>
      <c r="H145" s="21" t="s">
        <v>112</v>
      </c>
      <c r="I145" s="16">
        <v>0</v>
      </c>
      <c r="J145" s="16">
        <v>94</v>
      </c>
      <c r="K145" s="16" t="s">
        <v>29</v>
      </c>
      <c r="L145" s="26">
        <v>2.0550000000000002</v>
      </c>
      <c r="M145" s="26"/>
      <c r="N145" s="26"/>
      <c r="O145" s="26"/>
      <c r="P145" s="26"/>
      <c r="Q145" s="20"/>
      <c r="R145" s="24"/>
    </row>
    <row r="146" s="3" customFormat="1">
      <c r="A146" s="16" t="s">
        <v>178</v>
      </c>
      <c r="B146" s="16">
        <v>380.19999999999999</v>
      </c>
      <c r="C146" s="24">
        <f t="shared" si="3"/>
        <v>513.58370348138988</v>
      </c>
      <c r="D146" s="20">
        <v>6.9027611044417767e-003</v>
      </c>
      <c r="E146" s="20" t="s">
        <v>59</v>
      </c>
      <c r="F146" s="25" t="s">
        <v>60</v>
      </c>
      <c r="G146" s="16"/>
      <c r="H146" s="21" t="s">
        <v>112</v>
      </c>
      <c r="I146" s="16">
        <v>0</v>
      </c>
      <c r="J146" s="16">
        <v>94</v>
      </c>
      <c r="K146" s="16" t="s">
        <v>29</v>
      </c>
      <c r="L146" s="26">
        <v>2.573</v>
      </c>
      <c r="M146" s="26"/>
      <c r="N146" s="26"/>
      <c r="O146" s="26"/>
      <c r="P146" s="26"/>
      <c r="Q146" s="20"/>
      <c r="R146" s="24"/>
    </row>
    <row r="147" s="3" customFormat="1">
      <c r="A147" s="16" t="s">
        <v>179</v>
      </c>
      <c r="B147" s="16">
        <v>379.19999999999999</v>
      </c>
      <c r="C147" s="24">
        <f t="shared" si="3"/>
        <v>513.59060624249435</v>
      </c>
      <c r="D147" s="20">
        <v>6.9027611044417767e-003</v>
      </c>
      <c r="E147" s="20" t="s">
        <v>59</v>
      </c>
      <c r="F147" s="25" t="s">
        <v>60</v>
      </c>
      <c r="G147" s="16"/>
      <c r="H147" s="21" t="s">
        <v>112</v>
      </c>
      <c r="I147" s="16">
        <v>0</v>
      </c>
      <c r="J147" s="16">
        <v>94</v>
      </c>
      <c r="K147" s="16" t="s">
        <v>29</v>
      </c>
      <c r="L147" s="26">
        <v>2.157</v>
      </c>
      <c r="M147" s="26"/>
      <c r="N147" s="26"/>
      <c r="O147" s="26"/>
      <c r="P147" s="26"/>
      <c r="Q147" s="20"/>
      <c r="R147" s="24"/>
    </row>
    <row r="148" s="3" customFormat="1">
      <c r="A148" s="16" t="s">
        <v>180</v>
      </c>
      <c r="B148" s="16">
        <v>378.19999999999999</v>
      </c>
      <c r="C148" s="24">
        <f t="shared" si="3"/>
        <v>513.59750900359882</v>
      </c>
      <c r="D148" s="20">
        <v>6.9027611044417767e-003</v>
      </c>
      <c r="E148" s="20" t="s">
        <v>59</v>
      </c>
      <c r="F148" s="25" t="s">
        <v>60</v>
      </c>
      <c r="G148" s="16"/>
      <c r="H148" s="21" t="s">
        <v>112</v>
      </c>
      <c r="I148" s="16">
        <v>0</v>
      </c>
      <c r="J148" s="16">
        <v>94</v>
      </c>
      <c r="K148" s="16" t="s">
        <v>29</v>
      </c>
      <c r="L148" s="26">
        <v>2.016</v>
      </c>
      <c r="M148" s="26"/>
      <c r="N148" s="26"/>
      <c r="O148" s="26"/>
      <c r="P148" s="26"/>
      <c r="Q148" s="20"/>
      <c r="R148" s="24"/>
    </row>
    <row r="149" s="3" customFormat="1">
      <c r="A149" s="16" t="s">
        <v>181</v>
      </c>
      <c r="B149" s="16">
        <v>377.19999999999999</v>
      </c>
      <c r="C149" s="24">
        <f t="shared" si="3"/>
        <v>513.60441176470329</v>
      </c>
      <c r="D149" s="20">
        <v>6.9027611044417767e-003</v>
      </c>
      <c r="E149" s="20" t="s">
        <v>59</v>
      </c>
      <c r="F149" s="25" t="s">
        <v>60</v>
      </c>
      <c r="G149" s="16"/>
      <c r="H149" s="21" t="s">
        <v>112</v>
      </c>
      <c r="I149" s="16">
        <v>0</v>
      </c>
      <c r="J149" s="16">
        <v>94</v>
      </c>
      <c r="K149" s="16" t="s">
        <v>29</v>
      </c>
      <c r="L149" s="26">
        <v>1.484</v>
      </c>
      <c r="M149" s="26"/>
      <c r="N149" s="26"/>
      <c r="O149" s="26"/>
      <c r="P149" s="26"/>
      <c r="Q149" s="20"/>
      <c r="R149" s="24"/>
    </row>
    <row r="150" s="3" customFormat="1">
      <c r="A150" s="16" t="s">
        <v>182</v>
      </c>
      <c r="B150" s="16">
        <v>376.19999999999999</v>
      </c>
      <c r="C150" s="24">
        <f t="shared" si="3"/>
        <v>513.61131452580776</v>
      </c>
      <c r="D150" s="20">
        <v>6.9027611044417767e-003</v>
      </c>
      <c r="E150" s="20" t="s">
        <v>59</v>
      </c>
      <c r="F150" s="25" t="s">
        <v>60</v>
      </c>
      <c r="G150" s="16"/>
      <c r="H150" s="21" t="s">
        <v>112</v>
      </c>
      <c r="I150" s="16">
        <v>0</v>
      </c>
      <c r="J150" s="16">
        <v>94</v>
      </c>
      <c r="K150" s="16" t="s">
        <v>29</v>
      </c>
      <c r="L150" s="26">
        <v>1.169</v>
      </c>
      <c r="M150" s="26"/>
      <c r="N150" s="26"/>
      <c r="O150" s="26"/>
      <c r="P150" s="26"/>
      <c r="Q150" s="20"/>
      <c r="R150" s="24"/>
    </row>
    <row r="151" s="3" customFormat="1">
      <c r="A151" s="16" t="s">
        <v>183</v>
      </c>
      <c r="B151" s="16">
        <v>373.69999999999999</v>
      </c>
      <c r="C151" s="24">
        <f t="shared" si="3"/>
        <v>513.62857142856888</v>
      </c>
      <c r="D151" s="20">
        <v>6.9027611044417767e-003</v>
      </c>
      <c r="E151" s="20" t="s">
        <v>59</v>
      </c>
      <c r="F151" s="25" t="s">
        <v>60</v>
      </c>
      <c r="G151" s="16"/>
      <c r="H151" s="21" t="s">
        <v>112</v>
      </c>
      <c r="I151" s="16">
        <v>0</v>
      </c>
      <c r="J151" s="16">
        <v>94</v>
      </c>
      <c r="K151" s="16" t="s">
        <v>29</v>
      </c>
      <c r="L151" s="26">
        <v>1.629</v>
      </c>
      <c r="M151" s="26"/>
      <c r="N151" s="26"/>
      <c r="O151" s="26"/>
      <c r="P151" s="26"/>
      <c r="Q151" s="20"/>
      <c r="R151" s="24"/>
    </row>
    <row r="152" s="3" customFormat="1">
      <c r="A152" s="16" t="s">
        <v>184</v>
      </c>
      <c r="B152" s="16">
        <v>372.69999999999999</v>
      </c>
      <c r="C152" s="24">
        <f t="shared" si="3"/>
        <v>513.63547418967335</v>
      </c>
      <c r="D152" s="20">
        <v>6.9027611044417767e-003</v>
      </c>
      <c r="E152" s="20" t="s">
        <v>59</v>
      </c>
      <c r="F152" s="25" t="s">
        <v>60</v>
      </c>
      <c r="G152" s="16"/>
      <c r="H152" s="21" t="s">
        <v>112</v>
      </c>
      <c r="I152" s="16">
        <v>0</v>
      </c>
      <c r="J152" s="16">
        <v>94</v>
      </c>
      <c r="K152" s="16" t="s">
        <v>29</v>
      </c>
      <c r="L152" s="26">
        <v>1.839</v>
      </c>
      <c r="M152" s="26"/>
      <c r="N152" s="26"/>
      <c r="O152" s="26"/>
      <c r="P152" s="26"/>
      <c r="Q152" s="20"/>
      <c r="R152" s="24"/>
    </row>
    <row r="153" s="3" customFormat="1">
      <c r="A153" s="16" t="s">
        <v>185</v>
      </c>
      <c r="B153" s="16">
        <v>371.69999999999999</v>
      </c>
      <c r="C153" s="24">
        <f t="shared" si="3"/>
        <v>513.64237695077782</v>
      </c>
      <c r="D153" s="20">
        <v>6.9027611044417767e-003</v>
      </c>
      <c r="E153" s="20" t="s">
        <v>59</v>
      </c>
      <c r="F153" s="25" t="s">
        <v>60</v>
      </c>
      <c r="G153" s="16"/>
      <c r="H153" s="21" t="s">
        <v>112</v>
      </c>
      <c r="I153" s="16">
        <v>0</v>
      </c>
      <c r="J153" s="16">
        <v>94</v>
      </c>
      <c r="K153" s="16" t="s">
        <v>29</v>
      </c>
      <c r="L153" s="26">
        <v>1.8660000000000001</v>
      </c>
      <c r="M153" s="26"/>
      <c r="N153" s="26"/>
      <c r="O153" s="26"/>
      <c r="P153" s="26"/>
      <c r="Q153" s="20"/>
      <c r="R153" s="24"/>
    </row>
    <row r="154" s="3" customFormat="1">
      <c r="A154" s="16" t="s">
        <v>186</v>
      </c>
      <c r="B154" s="16">
        <v>370.69999999999999</v>
      </c>
      <c r="C154" s="24">
        <f t="shared" si="3"/>
        <v>513.64927971188229</v>
      </c>
      <c r="D154" s="20">
        <v>6.9027611044417767e-003</v>
      </c>
      <c r="E154" s="20" t="s">
        <v>59</v>
      </c>
      <c r="F154" s="25" t="s">
        <v>60</v>
      </c>
      <c r="G154" s="16"/>
      <c r="H154" s="21" t="s">
        <v>112</v>
      </c>
      <c r="I154" s="16">
        <v>0</v>
      </c>
      <c r="J154" s="16">
        <v>94</v>
      </c>
      <c r="K154" s="16" t="s">
        <v>29</v>
      </c>
      <c r="L154" s="26">
        <v>1.9359999999999999</v>
      </c>
      <c r="M154" s="26"/>
      <c r="N154" s="26"/>
      <c r="O154" s="26"/>
      <c r="P154" s="26"/>
      <c r="Q154" s="20"/>
      <c r="R154" s="24"/>
    </row>
    <row r="155" s="3" customFormat="1">
      <c r="A155" s="16" t="s">
        <v>187</v>
      </c>
      <c r="B155" s="16">
        <v>369.69999999999999</v>
      </c>
      <c r="C155" s="24">
        <f t="shared" si="3"/>
        <v>513.65618247298676</v>
      </c>
      <c r="D155" s="20">
        <v>6.9027611044417767e-003</v>
      </c>
      <c r="E155" s="20" t="s">
        <v>59</v>
      </c>
      <c r="F155" s="25" t="s">
        <v>60</v>
      </c>
      <c r="G155" s="16"/>
      <c r="H155" s="21" t="s">
        <v>112</v>
      </c>
      <c r="I155" s="16">
        <v>0</v>
      </c>
      <c r="J155" s="16">
        <v>94</v>
      </c>
      <c r="K155" s="16" t="s">
        <v>29</v>
      </c>
      <c r="L155" s="26">
        <v>1.9990000000000001</v>
      </c>
      <c r="M155" s="26"/>
      <c r="N155" s="26"/>
      <c r="O155" s="26"/>
      <c r="P155" s="26"/>
      <c r="Q155" s="20"/>
      <c r="R155" s="24"/>
    </row>
    <row r="156" s="3" customFormat="1">
      <c r="A156" s="16" t="s">
        <v>188</v>
      </c>
      <c r="B156" s="16">
        <v>368.69999999999999</v>
      </c>
      <c r="C156" s="24">
        <f t="shared" si="3"/>
        <v>513.66308523409123</v>
      </c>
      <c r="D156" s="20">
        <v>6.9027611044417767e-003</v>
      </c>
      <c r="E156" s="20" t="s">
        <v>59</v>
      </c>
      <c r="F156" s="25" t="s">
        <v>60</v>
      </c>
      <c r="G156" s="16"/>
      <c r="H156" s="21" t="s">
        <v>112</v>
      </c>
      <c r="I156" s="16">
        <v>0</v>
      </c>
      <c r="J156" s="16">
        <v>94</v>
      </c>
      <c r="K156" s="16" t="s">
        <v>29</v>
      </c>
      <c r="L156" s="26">
        <v>1.8480000000000001</v>
      </c>
      <c r="M156" s="26"/>
      <c r="N156" s="26"/>
      <c r="O156" s="26"/>
      <c r="P156" s="26"/>
      <c r="Q156" s="20"/>
      <c r="R156" s="24"/>
    </row>
    <row r="157" s="3" customFormat="1">
      <c r="A157" s="16" t="s">
        <v>189</v>
      </c>
      <c r="B157" s="16">
        <v>367.69999999999999</v>
      </c>
      <c r="C157" s="24">
        <f t="shared" si="3"/>
        <v>513.6699879951957</v>
      </c>
      <c r="D157" s="20">
        <v>6.9027611044417767e-003</v>
      </c>
      <c r="E157" s="20" t="s">
        <v>59</v>
      </c>
      <c r="F157" s="25" t="s">
        <v>60</v>
      </c>
      <c r="G157" s="16"/>
      <c r="H157" s="21" t="s">
        <v>112</v>
      </c>
      <c r="I157" s="16">
        <v>0</v>
      </c>
      <c r="J157" s="16">
        <v>94</v>
      </c>
      <c r="K157" s="16" t="s">
        <v>29</v>
      </c>
      <c r="L157" s="26">
        <v>2.6040000000000001</v>
      </c>
      <c r="M157" s="26"/>
      <c r="N157" s="26"/>
      <c r="O157" s="26"/>
      <c r="P157" s="26"/>
      <c r="Q157" s="20"/>
      <c r="R157" s="24"/>
    </row>
    <row r="158" s="3" customFormat="1">
      <c r="A158" s="16" t="s">
        <v>190</v>
      </c>
      <c r="B158" s="16">
        <v>366.69999999999999</v>
      </c>
      <c r="C158" s="24">
        <f t="shared" si="3"/>
        <v>513.67689075630017</v>
      </c>
      <c r="D158" s="20">
        <v>6.9027611044417767e-003</v>
      </c>
      <c r="E158" s="20" t="s">
        <v>59</v>
      </c>
      <c r="F158" s="25" t="s">
        <v>60</v>
      </c>
      <c r="G158" s="16"/>
      <c r="H158" s="21" t="s">
        <v>112</v>
      </c>
      <c r="I158" s="16">
        <v>0</v>
      </c>
      <c r="J158" s="16">
        <v>94</v>
      </c>
      <c r="K158" s="16" t="s">
        <v>29</v>
      </c>
      <c r="L158" s="26">
        <v>2.7280000000000002</v>
      </c>
      <c r="M158" s="26"/>
      <c r="N158" s="26"/>
      <c r="O158" s="26"/>
      <c r="P158" s="26"/>
      <c r="Q158" s="20"/>
      <c r="R158" s="24"/>
    </row>
    <row r="159" s="3" customFormat="1">
      <c r="A159" s="16" t="s">
        <v>191</v>
      </c>
      <c r="B159" s="16">
        <v>365.69999999999999</v>
      </c>
      <c r="C159" s="24">
        <f t="shared" si="3"/>
        <v>513.68379351740464</v>
      </c>
      <c r="D159" s="20">
        <v>6.9027611044417767e-003</v>
      </c>
      <c r="E159" s="20" t="s">
        <v>59</v>
      </c>
      <c r="F159" s="25" t="s">
        <v>60</v>
      </c>
      <c r="G159" s="16"/>
      <c r="H159" s="21" t="s">
        <v>112</v>
      </c>
      <c r="I159" s="16">
        <v>0</v>
      </c>
      <c r="J159" s="16">
        <v>94</v>
      </c>
      <c r="K159" s="16" t="s">
        <v>29</v>
      </c>
      <c r="L159" s="26">
        <v>2.1389999999999998</v>
      </c>
      <c r="M159" s="26"/>
      <c r="N159" s="26"/>
      <c r="O159" s="26"/>
      <c r="P159" s="26"/>
      <c r="Q159" s="20"/>
      <c r="R159" s="24"/>
    </row>
    <row r="160" s="3" customFormat="1">
      <c r="A160" s="22" t="s">
        <v>192</v>
      </c>
      <c r="B160" s="22">
        <v>364.69999999999999</v>
      </c>
      <c r="C160" s="24">
        <f t="shared" si="3"/>
        <v>513.69069627850911</v>
      </c>
      <c r="D160" s="20">
        <v>6.9027611044417767e-003</v>
      </c>
      <c r="E160" s="20" t="s">
        <v>59</v>
      </c>
      <c r="F160" s="25" t="s">
        <v>60</v>
      </c>
      <c r="G160" s="22"/>
      <c r="H160" s="21" t="s">
        <v>112</v>
      </c>
      <c r="I160" s="16">
        <v>0</v>
      </c>
      <c r="J160" s="16">
        <v>94</v>
      </c>
      <c r="K160" s="16" t="s">
        <v>29</v>
      </c>
      <c r="L160" s="23">
        <v>1.597</v>
      </c>
      <c r="M160" s="23"/>
      <c r="N160" s="26"/>
      <c r="O160" s="26"/>
      <c r="P160" s="26"/>
      <c r="Q160" s="20"/>
      <c r="R160" s="24"/>
    </row>
    <row r="161" s="3" customFormat="1">
      <c r="A161" s="16" t="s">
        <v>193</v>
      </c>
      <c r="B161" s="16">
        <v>363.69999999999999</v>
      </c>
      <c r="C161" s="24">
        <f t="shared" si="3"/>
        <v>513.69759903961358</v>
      </c>
      <c r="D161" s="20">
        <v>6.9027611044417767e-003</v>
      </c>
      <c r="E161" s="20" t="s">
        <v>59</v>
      </c>
      <c r="F161" s="25" t="s">
        <v>60</v>
      </c>
      <c r="G161" s="16"/>
      <c r="H161" s="21" t="s">
        <v>112</v>
      </c>
      <c r="I161" s="16">
        <v>0</v>
      </c>
      <c r="J161" s="16">
        <v>94</v>
      </c>
      <c r="K161" s="16" t="s">
        <v>29</v>
      </c>
      <c r="L161" s="26">
        <v>2.1299999999999999</v>
      </c>
      <c r="M161" s="26"/>
      <c r="N161" s="26"/>
      <c r="O161" s="26"/>
      <c r="P161" s="26"/>
      <c r="Q161" s="20"/>
      <c r="R161" s="24"/>
    </row>
    <row r="162" s="3" customFormat="1">
      <c r="A162" s="16" t="s">
        <v>194</v>
      </c>
      <c r="B162" s="16">
        <v>361.69999999999999</v>
      </c>
      <c r="C162" s="24">
        <f t="shared" si="3"/>
        <v>513.71140456182241</v>
      </c>
      <c r="D162" s="20">
        <v>6.9027611044417767e-003</v>
      </c>
      <c r="E162" s="20" t="s">
        <v>59</v>
      </c>
      <c r="F162" s="25" t="s">
        <v>60</v>
      </c>
      <c r="G162" s="16"/>
      <c r="H162" s="21" t="s">
        <v>112</v>
      </c>
      <c r="I162" s="16">
        <v>0</v>
      </c>
      <c r="J162" s="16">
        <v>94</v>
      </c>
      <c r="K162" s="16" t="s">
        <v>29</v>
      </c>
      <c r="L162" s="26">
        <v>2.1499999999999999</v>
      </c>
      <c r="M162" s="26"/>
      <c r="N162" s="26"/>
      <c r="O162" s="26"/>
      <c r="P162" s="26"/>
      <c r="Q162" s="20"/>
      <c r="R162" s="24"/>
    </row>
    <row r="163" s="3" customFormat="1">
      <c r="A163" s="16" t="s">
        <v>195</v>
      </c>
      <c r="B163" s="16">
        <v>360.69999999999999</v>
      </c>
      <c r="C163" s="24">
        <f t="shared" si="3"/>
        <v>513.71830732292688</v>
      </c>
      <c r="D163" s="20">
        <v>6.9027611044417767e-003</v>
      </c>
      <c r="E163" s="20" t="s">
        <v>59</v>
      </c>
      <c r="F163" s="25" t="s">
        <v>60</v>
      </c>
      <c r="G163" s="16"/>
      <c r="H163" s="21" t="s">
        <v>112</v>
      </c>
      <c r="I163" s="16">
        <v>0</v>
      </c>
      <c r="J163" s="16">
        <v>94</v>
      </c>
      <c r="K163" s="16" t="s">
        <v>29</v>
      </c>
      <c r="L163" s="26">
        <v>2.1030000000000002</v>
      </c>
      <c r="M163" s="26"/>
      <c r="N163" s="26"/>
      <c r="O163" s="26"/>
      <c r="P163" s="26"/>
      <c r="Q163" s="20"/>
      <c r="R163" s="24"/>
    </row>
    <row r="164" s="3" customFormat="1">
      <c r="A164" s="16" t="s">
        <v>196</v>
      </c>
      <c r="B164" s="16">
        <v>359.69999999999999</v>
      </c>
      <c r="C164" s="24">
        <f t="shared" si="3"/>
        <v>513.72521008403135</v>
      </c>
      <c r="D164" s="20">
        <v>6.9027611044417767e-003</v>
      </c>
      <c r="E164" s="20" t="s">
        <v>59</v>
      </c>
      <c r="F164" s="25" t="s">
        <v>60</v>
      </c>
      <c r="G164" s="16"/>
      <c r="H164" s="21" t="s">
        <v>112</v>
      </c>
      <c r="I164" s="16">
        <v>0</v>
      </c>
      <c r="J164" s="16">
        <v>94</v>
      </c>
      <c r="K164" s="16" t="s">
        <v>29</v>
      </c>
      <c r="L164" s="26">
        <v>2.1139999999999999</v>
      </c>
      <c r="M164" s="26"/>
      <c r="N164" s="26"/>
      <c r="O164" s="26"/>
      <c r="P164" s="26"/>
      <c r="Q164" s="20"/>
      <c r="R164" s="24"/>
    </row>
    <row r="165" s="3" customFormat="1">
      <c r="A165" s="16" t="s">
        <v>197</v>
      </c>
      <c r="B165" s="16">
        <v>358.69999999999999</v>
      </c>
      <c r="C165" s="24">
        <f t="shared" si="3"/>
        <v>513.73211284513582</v>
      </c>
      <c r="D165" s="20">
        <v>6.9027611044417767e-003</v>
      </c>
      <c r="E165" s="20" t="s">
        <v>59</v>
      </c>
      <c r="F165" s="25" t="s">
        <v>60</v>
      </c>
      <c r="G165" s="16"/>
      <c r="H165" s="21" t="s">
        <v>112</v>
      </c>
      <c r="I165" s="16">
        <v>0</v>
      </c>
      <c r="J165" s="16">
        <v>94</v>
      </c>
      <c r="K165" s="16" t="s">
        <v>29</v>
      </c>
      <c r="L165" s="26">
        <v>2.1160000000000001</v>
      </c>
      <c r="M165" s="26"/>
      <c r="N165" s="26"/>
      <c r="O165" s="26"/>
      <c r="P165" s="26"/>
      <c r="Q165" s="20"/>
      <c r="R165" s="24"/>
    </row>
    <row r="166" s="3" customFormat="1">
      <c r="A166" s="16" t="s">
        <v>198</v>
      </c>
      <c r="B166" s="16">
        <v>357.69999999999999</v>
      </c>
      <c r="C166" s="24">
        <f t="shared" si="3"/>
        <v>513.73901560624029</v>
      </c>
      <c r="D166" s="20">
        <v>6.9027611044417767e-003</v>
      </c>
      <c r="E166" s="20" t="s">
        <v>59</v>
      </c>
      <c r="F166" s="25" t="s">
        <v>60</v>
      </c>
      <c r="G166" s="16"/>
      <c r="H166" s="21" t="s">
        <v>112</v>
      </c>
      <c r="I166" s="16">
        <v>0</v>
      </c>
      <c r="J166" s="16">
        <v>94</v>
      </c>
      <c r="K166" s="16" t="s">
        <v>29</v>
      </c>
      <c r="L166" s="26">
        <v>2.0790000000000002</v>
      </c>
      <c r="M166" s="26"/>
      <c r="N166" s="26"/>
      <c r="O166" s="26"/>
      <c r="P166" s="26"/>
      <c r="Q166" s="20"/>
      <c r="R166" s="24"/>
    </row>
    <row r="167" s="3" customFormat="1">
      <c r="A167" s="16" t="s">
        <v>199</v>
      </c>
      <c r="B167" s="16">
        <v>355.69999999999999</v>
      </c>
      <c r="C167" s="24">
        <f t="shared" si="3"/>
        <v>513.75282112844911</v>
      </c>
      <c r="D167" s="20">
        <v>6.9027611044417767e-003</v>
      </c>
      <c r="E167" s="20" t="s">
        <v>59</v>
      </c>
      <c r="F167" s="25" t="s">
        <v>60</v>
      </c>
      <c r="G167" s="16"/>
      <c r="H167" s="21" t="s">
        <v>112</v>
      </c>
      <c r="I167" s="16">
        <v>0</v>
      </c>
      <c r="J167" s="16">
        <v>94</v>
      </c>
      <c r="K167" s="16" t="s">
        <v>29</v>
      </c>
      <c r="L167" s="26">
        <v>1.9570000000000001</v>
      </c>
      <c r="M167" s="26"/>
      <c r="N167" s="26"/>
      <c r="O167" s="26"/>
      <c r="P167" s="26"/>
      <c r="Q167" s="20"/>
      <c r="R167" s="24"/>
    </row>
    <row r="168" s="3" customFormat="1">
      <c r="A168" s="22" t="s">
        <v>200</v>
      </c>
      <c r="B168" s="22">
        <v>354.69999999999999</v>
      </c>
      <c r="C168" s="24">
        <f t="shared" si="3"/>
        <v>513.75972388955358</v>
      </c>
      <c r="D168" s="20">
        <v>6.9027611044417767e-003</v>
      </c>
      <c r="E168" s="20" t="s">
        <v>59</v>
      </c>
      <c r="F168" s="25" t="s">
        <v>60</v>
      </c>
      <c r="G168" s="22"/>
      <c r="H168" s="21" t="s">
        <v>112</v>
      </c>
      <c r="I168" s="16">
        <v>0</v>
      </c>
      <c r="J168" s="16">
        <v>94</v>
      </c>
      <c r="K168" s="16" t="s">
        <v>29</v>
      </c>
      <c r="L168" s="23">
        <v>1.5820000000000001</v>
      </c>
      <c r="M168" s="23"/>
      <c r="N168" s="26"/>
      <c r="O168" s="26"/>
      <c r="P168" s="26"/>
      <c r="Q168" s="20"/>
      <c r="R168" s="24"/>
    </row>
    <row r="169" s="3" customFormat="1">
      <c r="A169" s="16" t="s">
        <v>201</v>
      </c>
      <c r="B169" s="16">
        <v>352.69999999999999</v>
      </c>
      <c r="C169" s="24">
        <f t="shared" si="3"/>
        <v>513.77352941176241</v>
      </c>
      <c r="D169" s="20">
        <v>6.9027611044417767e-003</v>
      </c>
      <c r="E169" s="20" t="s">
        <v>59</v>
      </c>
      <c r="F169" s="25" t="s">
        <v>60</v>
      </c>
      <c r="G169" s="16"/>
      <c r="H169" s="21" t="s">
        <v>112</v>
      </c>
      <c r="I169" s="16">
        <v>0</v>
      </c>
      <c r="J169" s="16">
        <v>94</v>
      </c>
      <c r="K169" s="16" t="s">
        <v>29</v>
      </c>
      <c r="L169" s="26">
        <v>2.0030000000000001</v>
      </c>
      <c r="M169" s="26"/>
      <c r="N169" s="26"/>
      <c r="O169" s="26"/>
      <c r="P169" s="26"/>
      <c r="Q169" s="20"/>
      <c r="R169" s="24"/>
    </row>
    <row r="170" s="3" customFormat="1">
      <c r="A170" s="16" t="s">
        <v>202</v>
      </c>
      <c r="B170" s="16">
        <v>351.69999999999999</v>
      </c>
      <c r="C170" s="24">
        <f t="shared" si="3"/>
        <v>513.78043217286688</v>
      </c>
      <c r="D170" s="20">
        <v>6.9027611044417767e-003</v>
      </c>
      <c r="E170" s="20" t="s">
        <v>59</v>
      </c>
      <c r="F170" s="25" t="s">
        <v>60</v>
      </c>
      <c r="G170" s="16"/>
      <c r="H170" s="21" t="s">
        <v>112</v>
      </c>
      <c r="I170" s="16">
        <v>0</v>
      </c>
      <c r="J170" s="16">
        <v>94</v>
      </c>
      <c r="K170" s="16" t="s">
        <v>29</v>
      </c>
      <c r="L170" s="26">
        <v>1.903</v>
      </c>
      <c r="M170" s="26"/>
      <c r="N170" s="26"/>
      <c r="O170" s="26"/>
      <c r="P170" s="26"/>
      <c r="Q170" s="20"/>
      <c r="R170" s="24"/>
    </row>
    <row r="171" s="3" customFormat="1">
      <c r="A171" s="16" t="s">
        <v>203</v>
      </c>
      <c r="B171" s="16">
        <v>350.69999999999999</v>
      </c>
      <c r="C171" s="24">
        <f t="shared" si="3"/>
        <v>513.78733493397135</v>
      </c>
      <c r="D171" s="20">
        <v>6.9027611044417767e-003</v>
      </c>
      <c r="E171" s="20" t="s">
        <v>59</v>
      </c>
      <c r="F171" s="25" t="s">
        <v>60</v>
      </c>
      <c r="G171" s="16"/>
      <c r="H171" s="21" t="s">
        <v>112</v>
      </c>
      <c r="I171" s="16">
        <v>0</v>
      </c>
      <c r="J171" s="16">
        <v>94</v>
      </c>
      <c r="K171" s="16" t="s">
        <v>29</v>
      </c>
      <c r="L171" s="26">
        <v>2.0710000000000002</v>
      </c>
      <c r="M171" s="26"/>
      <c r="N171" s="26"/>
      <c r="O171" s="26"/>
      <c r="P171" s="26"/>
      <c r="Q171" s="20"/>
      <c r="R171" s="24"/>
    </row>
    <row r="172" s="3" customFormat="1">
      <c r="A172" s="16" t="s">
        <v>204</v>
      </c>
      <c r="B172" s="16">
        <v>349.69999999999999</v>
      </c>
      <c r="C172" s="24">
        <f t="shared" si="3"/>
        <v>513.79423769507582</v>
      </c>
      <c r="D172" s="20">
        <v>6.9027611044417767e-003</v>
      </c>
      <c r="E172" s="20" t="s">
        <v>59</v>
      </c>
      <c r="F172" s="25" t="s">
        <v>205</v>
      </c>
      <c r="G172" s="16"/>
      <c r="H172" s="21" t="s">
        <v>206</v>
      </c>
      <c r="I172" s="16">
        <v>0</v>
      </c>
      <c r="J172" s="16">
        <v>102</v>
      </c>
      <c r="K172" s="16" t="s">
        <v>207</v>
      </c>
      <c r="L172" s="26">
        <v>1.8460000000000001</v>
      </c>
      <c r="M172" s="26"/>
      <c r="N172" s="26"/>
      <c r="O172" s="26"/>
      <c r="P172" s="26"/>
      <c r="Q172" s="20"/>
      <c r="R172" s="24"/>
    </row>
    <row r="173" s="3" customFormat="1">
      <c r="A173" s="16" t="s">
        <v>208</v>
      </c>
      <c r="B173" s="16">
        <v>348.69999999999999</v>
      </c>
      <c r="C173" s="24">
        <f t="shared" si="3"/>
        <v>513.80114045618029</v>
      </c>
      <c r="D173" s="20">
        <v>6.9027611044417767e-003</v>
      </c>
      <c r="E173" s="20" t="s">
        <v>59</v>
      </c>
      <c r="F173" s="25" t="s">
        <v>205</v>
      </c>
      <c r="G173" s="16"/>
      <c r="H173" s="21" t="s">
        <v>206</v>
      </c>
      <c r="I173" s="16">
        <v>0</v>
      </c>
      <c r="J173" s="16">
        <v>102</v>
      </c>
      <c r="K173" s="16" t="s">
        <v>207</v>
      </c>
      <c r="L173" s="26">
        <v>1.7849999999999999</v>
      </c>
      <c r="M173" s="26"/>
      <c r="N173" s="26"/>
      <c r="O173" s="26"/>
      <c r="P173" s="26"/>
      <c r="Q173" s="20"/>
      <c r="R173" s="24"/>
    </row>
    <row r="174" s="3" customFormat="1">
      <c r="A174" s="16" t="s">
        <v>209</v>
      </c>
      <c r="B174" s="16">
        <v>347.69999999999999</v>
      </c>
      <c r="C174" s="24">
        <f t="shared" si="3"/>
        <v>513.80804321728476</v>
      </c>
      <c r="D174" s="20">
        <v>6.9027611044417767e-003</v>
      </c>
      <c r="E174" s="20" t="s">
        <v>59</v>
      </c>
      <c r="F174" s="25" t="s">
        <v>205</v>
      </c>
      <c r="G174" s="16"/>
      <c r="H174" s="21" t="s">
        <v>206</v>
      </c>
      <c r="I174" s="16">
        <v>0</v>
      </c>
      <c r="J174" s="16">
        <v>102</v>
      </c>
      <c r="K174" s="16" t="s">
        <v>207</v>
      </c>
      <c r="L174" s="26">
        <v>1.9690000000000001</v>
      </c>
      <c r="M174" s="26"/>
      <c r="N174" s="26"/>
      <c r="O174" s="26"/>
      <c r="P174" s="26"/>
      <c r="Q174" s="20"/>
      <c r="R174" s="24"/>
    </row>
    <row r="175" s="3" customFormat="1">
      <c r="A175" s="16" t="s">
        <v>210</v>
      </c>
      <c r="B175" s="16">
        <v>346.69999999999999</v>
      </c>
      <c r="C175" s="24">
        <f t="shared" si="3"/>
        <v>513.81494597838923</v>
      </c>
      <c r="D175" s="20">
        <v>6.9027611044417767e-003</v>
      </c>
      <c r="E175" s="20" t="s">
        <v>59</v>
      </c>
      <c r="F175" s="25" t="s">
        <v>205</v>
      </c>
      <c r="G175" s="16"/>
      <c r="H175" s="21" t="s">
        <v>206</v>
      </c>
      <c r="I175" s="16">
        <v>0</v>
      </c>
      <c r="J175" s="16">
        <v>102</v>
      </c>
      <c r="K175" s="16" t="s">
        <v>207</v>
      </c>
      <c r="L175" s="26">
        <v>1.6479999999999999</v>
      </c>
      <c r="M175" s="26"/>
      <c r="N175" s="26"/>
      <c r="O175" s="26"/>
      <c r="P175" s="26"/>
      <c r="Q175" s="20"/>
      <c r="R175" s="24"/>
    </row>
    <row r="176" s="3" customFormat="1">
      <c r="A176" s="16" t="s">
        <v>211</v>
      </c>
      <c r="B176" s="16">
        <v>345.69999999999999</v>
      </c>
      <c r="C176" s="24">
        <f t="shared" si="3"/>
        <v>513.8218487394937</v>
      </c>
      <c r="D176" s="20">
        <v>6.9027611044417767e-003</v>
      </c>
      <c r="E176" s="20" t="s">
        <v>59</v>
      </c>
      <c r="F176" s="25" t="s">
        <v>205</v>
      </c>
      <c r="G176" s="16"/>
      <c r="H176" s="21" t="s">
        <v>206</v>
      </c>
      <c r="I176" s="16">
        <v>0</v>
      </c>
      <c r="J176" s="16">
        <v>102</v>
      </c>
      <c r="K176" s="16" t="s">
        <v>207</v>
      </c>
      <c r="L176" s="26">
        <v>1.2809999999999999</v>
      </c>
      <c r="M176" s="26"/>
      <c r="N176" s="26"/>
      <c r="O176" s="26"/>
      <c r="P176" s="26"/>
      <c r="Q176" s="20"/>
      <c r="R176" s="24"/>
    </row>
    <row r="177" s="3" customFormat="1">
      <c r="A177" s="16" t="s">
        <v>212</v>
      </c>
      <c r="B177" s="16">
        <v>344.69999999999999</v>
      </c>
      <c r="C177" s="24">
        <f t="shared" si="3"/>
        <v>513.82875150059817</v>
      </c>
      <c r="D177" s="20">
        <v>6.9027611044417767e-003</v>
      </c>
      <c r="E177" s="20" t="s">
        <v>59</v>
      </c>
      <c r="F177" s="25" t="s">
        <v>205</v>
      </c>
      <c r="G177" s="16"/>
      <c r="H177" s="21" t="s">
        <v>206</v>
      </c>
      <c r="I177" s="16">
        <v>0</v>
      </c>
      <c r="J177" s="16">
        <v>102</v>
      </c>
      <c r="K177" s="16" t="s">
        <v>207</v>
      </c>
      <c r="L177" s="26">
        <v>1.5589999999999999</v>
      </c>
      <c r="M177" s="26"/>
      <c r="N177" s="26"/>
      <c r="O177" s="26"/>
      <c r="P177" s="26"/>
      <c r="Q177" s="20"/>
      <c r="R177" s="24"/>
    </row>
    <row r="178" s="3" customFormat="1">
      <c r="A178" s="16" t="s">
        <v>213</v>
      </c>
      <c r="B178" s="16">
        <v>343.69999999999999</v>
      </c>
      <c r="C178" s="24">
        <f t="shared" si="3"/>
        <v>513.83565426170264</v>
      </c>
      <c r="D178" s="20">
        <v>6.9027611044417767e-003</v>
      </c>
      <c r="E178" s="20" t="s">
        <v>59</v>
      </c>
      <c r="F178" s="25" t="s">
        <v>205</v>
      </c>
      <c r="G178" s="16"/>
      <c r="H178" s="21" t="s">
        <v>206</v>
      </c>
      <c r="I178" s="16">
        <v>0</v>
      </c>
      <c r="J178" s="16">
        <v>102</v>
      </c>
      <c r="K178" s="16" t="s">
        <v>207</v>
      </c>
      <c r="L178" s="26">
        <v>1.3859999999999999</v>
      </c>
      <c r="M178" s="26"/>
      <c r="N178" s="26"/>
      <c r="O178" s="26"/>
      <c r="P178" s="26"/>
      <c r="Q178" s="20"/>
      <c r="R178" s="24"/>
    </row>
    <row r="179" s="3" customFormat="1">
      <c r="A179" s="16" t="s">
        <v>214</v>
      </c>
      <c r="B179" s="16">
        <v>342.69999999999999</v>
      </c>
      <c r="C179" s="24">
        <f t="shared" si="3"/>
        <v>513.84255702280711</v>
      </c>
      <c r="D179" s="20">
        <v>6.9027611044417767e-003</v>
      </c>
      <c r="E179" s="20" t="s">
        <v>59</v>
      </c>
      <c r="F179" s="25" t="s">
        <v>205</v>
      </c>
      <c r="G179" s="16"/>
      <c r="H179" s="21" t="s">
        <v>206</v>
      </c>
      <c r="I179" s="16">
        <v>0</v>
      </c>
      <c r="J179" s="16">
        <v>102</v>
      </c>
      <c r="K179" s="16" t="s">
        <v>207</v>
      </c>
      <c r="L179" s="26">
        <v>1.3959999999999999</v>
      </c>
      <c r="M179" s="26"/>
      <c r="N179" s="26"/>
      <c r="O179" s="26"/>
      <c r="P179" s="26"/>
      <c r="Q179" s="20"/>
      <c r="R179" s="24"/>
    </row>
    <row r="180" s="3" customFormat="1">
      <c r="A180" s="16" t="s">
        <v>215</v>
      </c>
      <c r="B180" s="16">
        <v>341.69999999999999</v>
      </c>
      <c r="C180" s="24">
        <f t="shared" si="3"/>
        <v>513.84945978391158</v>
      </c>
      <c r="D180" s="20">
        <v>6.9027611044417767e-003</v>
      </c>
      <c r="E180" s="20" t="s">
        <v>59</v>
      </c>
      <c r="F180" s="25" t="s">
        <v>205</v>
      </c>
      <c r="G180" s="16"/>
      <c r="H180" s="21" t="s">
        <v>206</v>
      </c>
      <c r="I180" s="16">
        <v>0</v>
      </c>
      <c r="J180" s="16">
        <v>102</v>
      </c>
      <c r="K180" s="16" t="s">
        <v>207</v>
      </c>
      <c r="L180" s="26">
        <v>1.752</v>
      </c>
      <c r="M180" s="26"/>
      <c r="N180" s="26"/>
      <c r="O180" s="26"/>
      <c r="P180" s="26"/>
      <c r="Q180" s="20"/>
      <c r="R180" s="24"/>
    </row>
    <row r="181" s="3" customFormat="1">
      <c r="A181" s="16" t="s">
        <v>216</v>
      </c>
      <c r="B181" s="16">
        <v>340.69999999999999</v>
      </c>
      <c r="C181" s="24">
        <f t="shared" si="3"/>
        <v>513.85636254501605</v>
      </c>
      <c r="D181" s="20">
        <v>6.9027611044417767e-003</v>
      </c>
      <c r="E181" s="20" t="s">
        <v>59</v>
      </c>
      <c r="F181" s="25" t="s">
        <v>205</v>
      </c>
      <c r="G181" s="16"/>
      <c r="H181" s="21" t="s">
        <v>206</v>
      </c>
      <c r="I181" s="16">
        <v>0</v>
      </c>
      <c r="J181" s="16">
        <v>102</v>
      </c>
      <c r="K181" s="16" t="s">
        <v>207</v>
      </c>
      <c r="L181" s="26">
        <v>1.748</v>
      </c>
      <c r="M181" s="26"/>
      <c r="N181" s="26"/>
      <c r="O181" s="26"/>
      <c r="P181" s="26"/>
      <c r="Q181" s="20"/>
      <c r="R181" s="24"/>
    </row>
    <row r="182" s="3" customFormat="1">
      <c r="A182" s="16" t="s">
        <v>217</v>
      </c>
      <c r="B182" s="16">
        <v>339.69999999999999</v>
      </c>
      <c r="C182" s="24">
        <f t="shared" si="3"/>
        <v>513.86326530612052</v>
      </c>
      <c r="D182" s="20">
        <v>6.9027611044417767e-003</v>
      </c>
      <c r="E182" s="20" t="s">
        <v>59</v>
      </c>
      <c r="F182" s="25" t="s">
        <v>205</v>
      </c>
      <c r="G182" s="16"/>
      <c r="H182" s="21" t="s">
        <v>206</v>
      </c>
      <c r="I182" s="16">
        <v>0</v>
      </c>
      <c r="J182" s="16">
        <v>102</v>
      </c>
      <c r="K182" s="16" t="s">
        <v>207</v>
      </c>
      <c r="L182" s="26">
        <v>1.3700000000000001</v>
      </c>
      <c r="M182" s="26"/>
      <c r="N182" s="26"/>
      <c r="O182" s="26"/>
      <c r="P182" s="26"/>
      <c r="Q182" s="20"/>
      <c r="R182" s="24"/>
    </row>
    <row r="183" s="3" customFormat="1">
      <c r="A183" s="16" t="s">
        <v>218</v>
      </c>
      <c r="B183" s="16">
        <v>337.69999999999999</v>
      </c>
      <c r="C183" s="24">
        <f t="shared" si="3"/>
        <v>513.87707082832935</v>
      </c>
      <c r="D183" s="20">
        <v>6.9027611044417767e-003</v>
      </c>
      <c r="E183" s="20" t="s">
        <v>59</v>
      </c>
      <c r="F183" s="25" t="s">
        <v>205</v>
      </c>
      <c r="G183" s="16"/>
      <c r="H183" s="21" t="s">
        <v>206</v>
      </c>
      <c r="I183" s="16">
        <v>0</v>
      </c>
      <c r="J183" s="16">
        <v>102</v>
      </c>
      <c r="K183" s="16" t="s">
        <v>207</v>
      </c>
      <c r="L183" s="26">
        <v>1.296</v>
      </c>
      <c r="M183" s="26"/>
      <c r="N183" s="26"/>
      <c r="O183" s="26"/>
      <c r="P183" s="26"/>
      <c r="Q183" s="20"/>
      <c r="R183" s="24"/>
    </row>
    <row r="184" s="3" customFormat="1">
      <c r="A184" s="22" t="s">
        <v>219</v>
      </c>
      <c r="B184" s="22">
        <v>336.69999999999999</v>
      </c>
      <c r="C184" s="24">
        <f t="shared" si="3"/>
        <v>513.88397358943382</v>
      </c>
      <c r="D184" s="20">
        <v>6.9027611044417767e-003</v>
      </c>
      <c r="E184" s="20" t="s">
        <v>59</v>
      </c>
      <c r="F184" s="25" t="s">
        <v>205</v>
      </c>
      <c r="G184" s="22"/>
      <c r="H184" s="21" t="s">
        <v>206</v>
      </c>
      <c r="I184" s="16">
        <v>0</v>
      </c>
      <c r="J184" s="16">
        <v>102</v>
      </c>
      <c r="K184" s="16" t="s">
        <v>207</v>
      </c>
      <c r="L184" s="23">
        <v>0.22</v>
      </c>
      <c r="M184" s="23"/>
      <c r="N184" s="26"/>
      <c r="O184" s="26"/>
      <c r="P184" s="26"/>
      <c r="Q184" s="20"/>
      <c r="R184" s="24"/>
    </row>
    <row r="185" s="3" customFormat="1">
      <c r="A185" s="16" t="s">
        <v>220</v>
      </c>
      <c r="B185" s="16">
        <v>335.69999999999999</v>
      </c>
      <c r="C185" s="24">
        <f t="shared" si="3"/>
        <v>513.89087635053829</v>
      </c>
      <c r="D185" s="20">
        <v>6.9027611044417767e-003</v>
      </c>
      <c r="E185" s="20" t="s">
        <v>59</v>
      </c>
      <c r="F185" s="25" t="s">
        <v>205</v>
      </c>
      <c r="G185" s="16"/>
      <c r="H185" s="21" t="s">
        <v>206</v>
      </c>
      <c r="I185" s="16">
        <v>0</v>
      </c>
      <c r="J185" s="16">
        <v>102</v>
      </c>
      <c r="K185" s="16" t="s">
        <v>207</v>
      </c>
      <c r="L185" s="26">
        <v>1.216</v>
      </c>
      <c r="M185" s="26"/>
      <c r="N185" s="26"/>
      <c r="O185" s="26"/>
      <c r="P185" s="26"/>
      <c r="Q185" s="20"/>
      <c r="R185" s="24"/>
    </row>
    <row r="186" s="3" customFormat="1">
      <c r="A186" s="16" t="s">
        <v>221</v>
      </c>
      <c r="B186" s="16">
        <v>334.69999999999999</v>
      </c>
      <c r="C186" s="24">
        <f t="shared" si="3"/>
        <v>513.89777911164276</v>
      </c>
      <c r="D186" s="20">
        <v>6.9027611044417767e-003</v>
      </c>
      <c r="E186" s="20" t="s">
        <v>59</v>
      </c>
      <c r="F186" s="25" t="s">
        <v>205</v>
      </c>
      <c r="G186" s="16"/>
      <c r="H186" s="21" t="s">
        <v>206</v>
      </c>
      <c r="I186" s="16">
        <v>0</v>
      </c>
      <c r="J186" s="16">
        <v>102</v>
      </c>
      <c r="K186" s="16" t="s">
        <v>207</v>
      </c>
      <c r="L186" s="26">
        <v>1.1950000000000001</v>
      </c>
      <c r="M186" s="26"/>
      <c r="N186" s="26"/>
      <c r="O186" s="26"/>
      <c r="P186" s="26"/>
      <c r="Q186" s="20"/>
      <c r="R186" s="24"/>
    </row>
    <row r="187" s="3" customFormat="1">
      <c r="A187" s="16" t="s">
        <v>222</v>
      </c>
      <c r="B187" s="16">
        <v>333.69999999999999</v>
      </c>
      <c r="C187" s="24">
        <f t="shared" si="3"/>
        <v>513.90468187274723</v>
      </c>
      <c r="D187" s="20">
        <v>6.9027611044417767e-003</v>
      </c>
      <c r="E187" s="20" t="s">
        <v>59</v>
      </c>
      <c r="F187" s="25" t="s">
        <v>205</v>
      </c>
      <c r="G187" s="16"/>
      <c r="H187" s="21" t="s">
        <v>206</v>
      </c>
      <c r="I187" s="16">
        <v>0</v>
      </c>
      <c r="J187" s="16">
        <v>102</v>
      </c>
      <c r="K187" s="16" t="s">
        <v>207</v>
      </c>
      <c r="L187" s="26">
        <v>1.1459999999999999</v>
      </c>
      <c r="M187" s="26"/>
      <c r="N187" s="26"/>
      <c r="O187" s="26"/>
      <c r="P187" s="26"/>
      <c r="Q187" s="20"/>
      <c r="R187" s="24"/>
    </row>
    <row r="188" s="3" customFormat="1">
      <c r="A188" s="16" t="s">
        <v>223</v>
      </c>
      <c r="B188" s="16">
        <v>332.69999999999999</v>
      </c>
      <c r="C188" s="24">
        <f t="shared" si="3"/>
        <v>513.9115846338517</v>
      </c>
      <c r="D188" s="20">
        <v>6.9027611044417767e-003</v>
      </c>
      <c r="E188" s="20" t="s">
        <v>59</v>
      </c>
      <c r="F188" s="25" t="s">
        <v>205</v>
      </c>
      <c r="G188" s="16"/>
      <c r="H188" s="21" t="s">
        <v>206</v>
      </c>
      <c r="I188" s="16">
        <v>0</v>
      </c>
      <c r="J188" s="16">
        <v>102</v>
      </c>
      <c r="K188" s="16" t="s">
        <v>207</v>
      </c>
      <c r="L188" s="26">
        <v>1.0189999999999999</v>
      </c>
      <c r="M188" s="26"/>
      <c r="N188" s="26"/>
      <c r="O188" s="26"/>
      <c r="P188" s="26"/>
      <c r="Q188" s="20"/>
      <c r="R188" s="24"/>
    </row>
    <row r="189" s="3" customFormat="1">
      <c r="A189" s="16" t="s">
        <v>224</v>
      </c>
      <c r="B189" s="16">
        <v>331.69999999999999</v>
      </c>
      <c r="C189" s="24">
        <f t="shared" si="3"/>
        <v>513.91848739495617</v>
      </c>
      <c r="D189" s="20">
        <v>6.9027611044417767e-003</v>
      </c>
      <c r="E189" s="20" t="s">
        <v>59</v>
      </c>
      <c r="F189" s="25" t="s">
        <v>205</v>
      </c>
      <c r="G189" s="16"/>
      <c r="H189" s="21" t="s">
        <v>206</v>
      </c>
      <c r="I189" s="16">
        <v>0</v>
      </c>
      <c r="J189" s="16">
        <v>102</v>
      </c>
      <c r="K189" s="16" t="s">
        <v>207</v>
      </c>
      <c r="L189" s="26">
        <v>1.0980000000000001</v>
      </c>
      <c r="M189" s="26"/>
      <c r="N189" s="26"/>
      <c r="O189" s="26"/>
      <c r="P189" s="26"/>
      <c r="Q189" s="20"/>
      <c r="R189" s="24"/>
    </row>
    <row r="190" s="3" customFormat="1">
      <c r="A190" s="16" t="s">
        <v>225</v>
      </c>
      <c r="B190" s="26">
        <v>330.19999999999999</v>
      </c>
      <c r="C190" s="24">
        <f t="shared" si="3"/>
        <v>513.92884153661282</v>
      </c>
      <c r="D190" s="20">
        <v>6.9027611044417767e-003</v>
      </c>
      <c r="E190" s="20" t="s">
        <v>59</v>
      </c>
      <c r="F190" s="25" t="s">
        <v>205</v>
      </c>
      <c r="G190" s="16"/>
      <c r="H190" s="21" t="s">
        <v>206</v>
      </c>
      <c r="I190" s="16">
        <v>0</v>
      </c>
      <c r="J190" s="16">
        <v>102</v>
      </c>
      <c r="K190" s="16" t="s">
        <v>207</v>
      </c>
      <c r="L190" s="26">
        <v>0.83199999999999996</v>
      </c>
      <c r="M190" s="26">
        <v>-6.1239999999999997</v>
      </c>
      <c r="N190" s="26"/>
      <c r="O190" s="26">
        <v>40.082639326182139</v>
      </c>
      <c r="P190" s="23">
        <v>87.970174999999998</v>
      </c>
      <c r="Q190" s="27">
        <v>4.8044609710528235e-002</v>
      </c>
      <c r="R190" s="28">
        <v>4.7932154700968621e-002</v>
      </c>
    </row>
    <row r="191" s="3" customFormat="1">
      <c r="A191" s="16" t="s">
        <v>226</v>
      </c>
      <c r="B191" s="26">
        <v>329.69999999999999</v>
      </c>
      <c r="C191" s="24">
        <f t="shared" si="3"/>
        <v>513.932292917165</v>
      </c>
      <c r="D191" s="20">
        <v>6.9027611044417767e-003</v>
      </c>
      <c r="E191" s="20" t="s">
        <v>59</v>
      </c>
      <c r="F191" s="25" t="s">
        <v>205</v>
      </c>
      <c r="G191" s="16"/>
      <c r="H191" s="21" t="s">
        <v>206</v>
      </c>
      <c r="I191" s="16">
        <v>0</v>
      </c>
      <c r="J191" s="16">
        <v>102</v>
      </c>
      <c r="K191" s="16" t="s">
        <v>207</v>
      </c>
      <c r="L191" s="26">
        <v>0.64600000000000002</v>
      </c>
      <c r="M191" s="26">
        <v>-6.3890000000000002</v>
      </c>
      <c r="N191" s="26">
        <v>30.84</v>
      </c>
      <c r="O191" s="26">
        <v>41.813286249999997</v>
      </c>
      <c r="P191" s="23">
        <v>87.5596295</v>
      </c>
      <c r="Q191" s="27">
        <v>2.8011138738717356e-002</v>
      </c>
      <c r="R191" s="28">
        <v>0.10931493346476097</v>
      </c>
    </row>
    <row r="192" s="3" customFormat="1">
      <c r="A192" s="16" t="s">
        <v>227</v>
      </c>
      <c r="B192" s="26">
        <v>329.19999999999999</v>
      </c>
      <c r="C192" s="24">
        <f t="shared" si="3"/>
        <v>513.93574429771718</v>
      </c>
      <c r="D192" s="20">
        <v>6.9027611044417767e-003</v>
      </c>
      <c r="E192" s="20" t="s">
        <v>59</v>
      </c>
      <c r="F192" s="25" t="s">
        <v>205</v>
      </c>
      <c r="G192" s="16"/>
      <c r="H192" s="21" t="s">
        <v>206</v>
      </c>
      <c r="I192" s="16">
        <v>0</v>
      </c>
      <c r="J192" s="16">
        <v>102</v>
      </c>
      <c r="K192" s="16" t="s">
        <v>207</v>
      </c>
      <c r="L192" s="26">
        <v>0.86899999999999999</v>
      </c>
      <c r="M192" s="26">
        <v>-6.2519999999999998</v>
      </c>
      <c r="N192" s="26"/>
      <c r="O192" s="26"/>
      <c r="P192" s="26"/>
      <c r="Q192" s="20"/>
      <c r="R192" s="24"/>
    </row>
    <row r="193" s="3" customFormat="1">
      <c r="A193" s="16" t="s">
        <v>228</v>
      </c>
      <c r="B193" s="26">
        <v>328.69999999999999</v>
      </c>
      <c r="C193" s="24">
        <f t="shared" si="3"/>
        <v>513.93919567826936</v>
      </c>
      <c r="D193" s="20">
        <v>6.9027611044417767e-003</v>
      </c>
      <c r="E193" s="20" t="s">
        <v>59</v>
      </c>
      <c r="F193" s="25" t="s">
        <v>205</v>
      </c>
      <c r="G193" s="16"/>
      <c r="H193" s="21" t="s">
        <v>206</v>
      </c>
      <c r="I193" s="16">
        <v>0</v>
      </c>
      <c r="J193" s="16">
        <v>102</v>
      </c>
      <c r="K193" s="16" t="s">
        <v>207</v>
      </c>
      <c r="L193" s="26">
        <v>0.83499999999999996</v>
      </c>
      <c r="M193" s="26">
        <v>-6.5819999999999999</v>
      </c>
      <c r="N193" s="26"/>
      <c r="O193" s="26"/>
      <c r="P193" s="26"/>
      <c r="Q193" s="20"/>
      <c r="R193" s="24"/>
    </row>
    <row r="194" s="3" customFormat="1">
      <c r="A194" s="16" t="s">
        <v>229</v>
      </c>
      <c r="B194" s="26">
        <v>328.09999999999997</v>
      </c>
      <c r="C194" s="24">
        <f t="shared" si="3"/>
        <v>513.94333733493204</v>
      </c>
      <c r="D194" s="20">
        <v>6.9027611044417767e-003</v>
      </c>
      <c r="E194" s="20" t="s">
        <v>59</v>
      </c>
      <c r="F194" s="25" t="s">
        <v>205</v>
      </c>
      <c r="G194" s="16"/>
      <c r="H194" s="21" t="s">
        <v>206</v>
      </c>
      <c r="I194" s="16">
        <v>0</v>
      </c>
      <c r="J194" s="16">
        <v>102</v>
      </c>
      <c r="K194" s="16" t="s">
        <v>207</v>
      </c>
      <c r="L194" s="26">
        <v>0.71699999999999997</v>
      </c>
      <c r="M194" s="26">
        <v>-6.2539999999999996</v>
      </c>
      <c r="N194" s="26"/>
      <c r="O194" s="26"/>
      <c r="P194" s="26"/>
      <c r="Q194" s="20"/>
      <c r="R194" s="24"/>
    </row>
    <row r="195" s="3" customFormat="1">
      <c r="A195" s="16" t="s">
        <v>230</v>
      </c>
      <c r="B195" s="26">
        <v>327.69999999999999</v>
      </c>
      <c r="C195" s="24">
        <f t="shared" si="3"/>
        <v>513.94609843937383</v>
      </c>
      <c r="D195" s="20">
        <v>6.9027611044417767e-003</v>
      </c>
      <c r="E195" s="20" t="s">
        <v>59</v>
      </c>
      <c r="F195" s="25" t="s">
        <v>205</v>
      </c>
      <c r="G195" s="16"/>
      <c r="H195" s="21" t="s">
        <v>206</v>
      </c>
      <c r="I195" s="16">
        <v>0</v>
      </c>
      <c r="J195" s="16">
        <v>102</v>
      </c>
      <c r="K195" s="16" t="s">
        <v>207</v>
      </c>
      <c r="L195" s="26">
        <v>0.77300000000000002</v>
      </c>
      <c r="M195" s="26">
        <v>-6.2709999999999999</v>
      </c>
      <c r="N195" s="26"/>
      <c r="O195" s="26">
        <v>37.782139229999999</v>
      </c>
      <c r="P195" s="26"/>
      <c r="Q195" s="20"/>
      <c r="R195" s="24"/>
    </row>
    <row r="196" s="3" customFormat="1">
      <c r="A196" s="16" t="s">
        <v>231</v>
      </c>
      <c r="B196" s="26">
        <v>326.69999999999999</v>
      </c>
      <c r="C196" s="24">
        <f t="shared" si="3"/>
        <v>513.9530012004783</v>
      </c>
      <c r="D196" s="20">
        <v>6.9027611044417767e-003</v>
      </c>
      <c r="E196" s="20" t="s">
        <v>59</v>
      </c>
      <c r="F196" s="25" t="s">
        <v>205</v>
      </c>
      <c r="G196" s="16"/>
      <c r="H196" s="21" t="s">
        <v>206</v>
      </c>
      <c r="I196" s="16">
        <v>0</v>
      </c>
      <c r="J196" s="16">
        <v>102</v>
      </c>
      <c r="K196" s="16" t="s">
        <v>207</v>
      </c>
      <c r="L196" s="26">
        <v>0.78100000000000003</v>
      </c>
      <c r="M196" s="26">
        <v>-6.3920000000000003</v>
      </c>
      <c r="N196" s="26"/>
      <c r="O196" s="26">
        <v>53.56828007</v>
      </c>
      <c r="P196" s="26"/>
      <c r="Q196" s="20"/>
      <c r="R196" s="24"/>
    </row>
    <row r="197" s="3" customFormat="1">
      <c r="A197" s="16" t="s">
        <v>232</v>
      </c>
      <c r="B197" s="26">
        <v>325.69999999999999</v>
      </c>
      <c r="C197" s="24">
        <f t="shared" si="3"/>
        <v>513.95990396158277</v>
      </c>
      <c r="D197" s="20">
        <v>6.9027611044417767e-003</v>
      </c>
      <c r="E197" s="20" t="s">
        <v>59</v>
      </c>
      <c r="F197" s="25" t="s">
        <v>205</v>
      </c>
      <c r="G197" s="16"/>
      <c r="H197" s="21" t="s">
        <v>206</v>
      </c>
      <c r="I197" s="16">
        <v>0</v>
      </c>
      <c r="J197" s="16">
        <v>102</v>
      </c>
      <c r="K197" s="16" t="s">
        <v>207</v>
      </c>
      <c r="L197" s="26">
        <v>0.78200000000000003</v>
      </c>
      <c r="M197" s="26">
        <v>-5.7699999999999996</v>
      </c>
      <c r="N197" s="26"/>
      <c r="O197" s="26"/>
      <c r="P197" s="26"/>
      <c r="Q197" s="20"/>
      <c r="R197" s="24"/>
    </row>
    <row r="198" s="3" customFormat="1">
      <c r="A198" s="16" t="s">
        <v>233</v>
      </c>
      <c r="B198" s="26">
        <v>325.19999999999999</v>
      </c>
      <c r="C198" s="24">
        <f t="shared" ref="C198:C261" si="4">C197+(B197-B198)*D198</f>
        <v>513.96335534213495</v>
      </c>
      <c r="D198" s="20">
        <v>6.9027611044417767e-003</v>
      </c>
      <c r="E198" s="20" t="s">
        <v>59</v>
      </c>
      <c r="F198" s="25" t="s">
        <v>205</v>
      </c>
      <c r="G198" s="16"/>
      <c r="H198" s="21" t="s">
        <v>206</v>
      </c>
      <c r="I198" s="16">
        <v>0</v>
      </c>
      <c r="J198" s="16">
        <v>102</v>
      </c>
      <c r="K198" s="16" t="s">
        <v>207</v>
      </c>
      <c r="L198" s="26">
        <v>0.94199999999999995</v>
      </c>
      <c r="M198" s="26">
        <v>-5.9039999999999999</v>
      </c>
      <c r="N198" s="26"/>
      <c r="O198" s="26"/>
      <c r="P198" s="26"/>
      <c r="Q198" s="20"/>
      <c r="R198" s="24"/>
    </row>
    <row r="199" s="3" customFormat="1">
      <c r="A199" s="16" t="s">
        <v>234</v>
      </c>
      <c r="B199" s="26">
        <v>324.19999999999999</v>
      </c>
      <c r="C199" s="24">
        <f t="shared" si="4"/>
        <v>513.97025810323942</v>
      </c>
      <c r="D199" s="20">
        <v>6.9027611044417767e-003</v>
      </c>
      <c r="E199" s="20" t="s">
        <v>59</v>
      </c>
      <c r="F199" s="25" t="s">
        <v>205</v>
      </c>
      <c r="G199" s="16"/>
      <c r="H199" s="21" t="s">
        <v>206</v>
      </c>
      <c r="I199" s="16">
        <v>0</v>
      </c>
      <c r="J199" s="16">
        <v>102</v>
      </c>
      <c r="K199" s="16" t="s">
        <v>207</v>
      </c>
      <c r="L199" s="26">
        <v>0.57199999999999995</v>
      </c>
      <c r="M199" s="26">
        <v>-6.0640000000000001</v>
      </c>
      <c r="N199" s="26">
        <v>35.869999999999997</v>
      </c>
      <c r="O199" s="26">
        <v>25.685216740000001</v>
      </c>
      <c r="P199" s="23">
        <v>87.774244999999993</v>
      </c>
      <c r="Q199" s="27">
        <v>3.3643201393362437e-002</v>
      </c>
      <c r="R199" s="28">
        <v>5.4391788323096928e-002</v>
      </c>
    </row>
    <row r="200" s="3" customFormat="1">
      <c r="A200" s="16" t="s">
        <v>235</v>
      </c>
      <c r="B200" s="26">
        <v>322.89999999999998</v>
      </c>
      <c r="C200" s="24">
        <f t="shared" si="4"/>
        <v>513.97923169267517</v>
      </c>
      <c r="D200" s="20">
        <v>6.9027611044417767e-003</v>
      </c>
      <c r="E200" s="20" t="s">
        <v>59</v>
      </c>
      <c r="F200" s="25" t="s">
        <v>205</v>
      </c>
      <c r="G200" s="16"/>
      <c r="H200" s="21" t="s">
        <v>206</v>
      </c>
      <c r="I200" s="16">
        <v>0</v>
      </c>
      <c r="J200" s="16">
        <v>102</v>
      </c>
      <c r="K200" s="16" t="s">
        <v>207</v>
      </c>
      <c r="L200" s="26">
        <v>0.68600000000000005</v>
      </c>
      <c r="M200" s="26">
        <v>-5.835</v>
      </c>
      <c r="N200" s="26"/>
      <c r="O200" s="26"/>
      <c r="P200" s="26"/>
      <c r="Q200" s="20"/>
      <c r="R200" s="24"/>
    </row>
    <row r="201" s="3" customFormat="1">
      <c r="A201" s="16" t="s">
        <v>236</v>
      </c>
      <c r="B201" s="26">
        <v>322.19999999999999</v>
      </c>
      <c r="C201" s="24">
        <f t="shared" si="4"/>
        <v>513.98406362544824</v>
      </c>
      <c r="D201" s="20">
        <v>6.9027611044417767e-003</v>
      </c>
      <c r="E201" s="20" t="s">
        <v>59</v>
      </c>
      <c r="F201" s="25" t="s">
        <v>205</v>
      </c>
      <c r="G201" s="16"/>
      <c r="H201" s="21" t="s">
        <v>206</v>
      </c>
      <c r="I201" s="16">
        <v>0</v>
      </c>
      <c r="J201" s="16">
        <v>102</v>
      </c>
      <c r="K201" s="16" t="s">
        <v>207</v>
      </c>
      <c r="L201" s="26">
        <v>0.74199999999999999</v>
      </c>
      <c r="M201" s="26">
        <v>-5.6120000000000001</v>
      </c>
      <c r="N201" s="26"/>
      <c r="O201" s="26"/>
      <c r="P201" s="26"/>
      <c r="Q201" s="20"/>
      <c r="R201" s="24"/>
    </row>
    <row r="202" s="3" customFormat="1">
      <c r="A202" s="16" t="s">
        <v>237</v>
      </c>
      <c r="B202" s="26">
        <v>321.19999999999999</v>
      </c>
      <c r="C202" s="24">
        <f t="shared" si="4"/>
        <v>513.99096638655271</v>
      </c>
      <c r="D202" s="20">
        <v>6.9027611044417767e-003</v>
      </c>
      <c r="E202" s="20" t="s">
        <v>59</v>
      </c>
      <c r="F202" s="25" t="s">
        <v>205</v>
      </c>
      <c r="G202" s="16"/>
      <c r="H202" s="21" t="s">
        <v>206</v>
      </c>
      <c r="I202" s="16">
        <v>0</v>
      </c>
      <c r="J202" s="16">
        <v>102</v>
      </c>
      <c r="K202" s="16" t="s">
        <v>207</v>
      </c>
      <c r="L202" s="26">
        <v>1.0189999999999999</v>
      </c>
      <c r="M202" s="26">
        <v>-6.8220000000000001</v>
      </c>
      <c r="N202" s="26"/>
      <c r="O202" s="26"/>
      <c r="P202" s="26"/>
      <c r="Q202" s="20"/>
      <c r="R202" s="24"/>
    </row>
    <row r="203" s="3" customFormat="1">
      <c r="A203" s="16" t="s">
        <v>238</v>
      </c>
      <c r="B203" s="26">
        <v>320.19999999999999</v>
      </c>
      <c r="C203" s="24">
        <f t="shared" si="4"/>
        <v>513.99786914765718</v>
      </c>
      <c r="D203" s="20">
        <v>6.9027611044417767e-003</v>
      </c>
      <c r="E203" s="20" t="s">
        <v>59</v>
      </c>
      <c r="F203" s="25" t="s">
        <v>205</v>
      </c>
      <c r="G203" s="16"/>
      <c r="H203" s="21" t="s">
        <v>206</v>
      </c>
      <c r="I203" s="16">
        <v>0</v>
      </c>
      <c r="J203" s="16">
        <v>102</v>
      </c>
      <c r="K203" s="16" t="s">
        <v>207</v>
      </c>
      <c r="L203" s="26">
        <v>0.97999999999999998</v>
      </c>
      <c r="M203" s="26">
        <v>-7.1849999999999996</v>
      </c>
      <c r="N203" s="26">
        <v>35.329999999999998</v>
      </c>
      <c r="O203" s="26">
        <v>33.386786800000003</v>
      </c>
      <c r="P203" s="23">
        <v>87.738145000000003</v>
      </c>
      <c r="Q203" s="27">
        <v>5.6182824616349235e-002</v>
      </c>
      <c r="R203" s="28">
        <v>7.3882349578663062e-002</v>
      </c>
    </row>
    <row r="204" s="3" customFormat="1">
      <c r="A204" s="16" t="s">
        <v>239</v>
      </c>
      <c r="B204" s="26">
        <v>319.19999999999999</v>
      </c>
      <c r="C204" s="24">
        <f t="shared" si="4"/>
        <v>514.00477190876165</v>
      </c>
      <c r="D204" s="20">
        <v>6.9027611044417767e-003</v>
      </c>
      <c r="E204" s="20" t="s">
        <v>59</v>
      </c>
      <c r="F204" s="25" t="s">
        <v>205</v>
      </c>
      <c r="G204" s="16"/>
      <c r="H204" s="21" t="s">
        <v>206</v>
      </c>
      <c r="I204" s="16">
        <v>0</v>
      </c>
      <c r="J204" s="16">
        <v>102</v>
      </c>
      <c r="K204" s="16" t="s">
        <v>207</v>
      </c>
      <c r="L204" s="26">
        <v>0.69699999999999995</v>
      </c>
      <c r="M204" s="26">
        <v>-6.3399999999999999</v>
      </c>
      <c r="N204" s="26"/>
      <c r="O204" s="26"/>
      <c r="P204" s="26"/>
      <c r="Q204" s="20"/>
      <c r="R204" s="24"/>
    </row>
    <row r="205" s="3" customFormat="1">
      <c r="A205" s="16" t="s">
        <v>240</v>
      </c>
      <c r="B205" s="26">
        <v>318.19999999999999</v>
      </c>
      <c r="C205" s="24">
        <f t="shared" si="4"/>
        <v>514.01167466986612</v>
      </c>
      <c r="D205" s="20">
        <v>6.9027611044417767e-003</v>
      </c>
      <c r="E205" s="20" t="s">
        <v>59</v>
      </c>
      <c r="F205" s="25" t="s">
        <v>205</v>
      </c>
      <c r="G205" s="16"/>
      <c r="H205" s="21" t="s">
        <v>206</v>
      </c>
      <c r="I205" s="16">
        <v>0</v>
      </c>
      <c r="J205" s="16">
        <v>102</v>
      </c>
      <c r="K205" s="16" t="s">
        <v>207</v>
      </c>
      <c r="L205" s="26">
        <v>0.81399999999999995</v>
      </c>
      <c r="M205" s="26">
        <v>-6.1760000000000002</v>
      </c>
      <c r="N205" s="26">
        <v>28.75</v>
      </c>
      <c r="O205" s="26">
        <v>42.224878310000001</v>
      </c>
      <c r="P205" s="23">
        <v>88.924610000000001</v>
      </c>
      <c r="Q205" s="27">
        <v>6.0881371238886747e-002</v>
      </c>
      <c r="R205" s="28">
        <v>0.22924418057999435</v>
      </c>
    </row>
    <row r="206" s="3" customFormat="1">
      <c r="A206" s="16" t="s">
        <v>241</v>
      </c>
      <c r="B206" s="26">
        <v>317.19999999999999</v>
      </c>
      <c r="C206" s="24">
        <f t="shared" si="4"/>
        <v>514.01857743097059</v>
      </c>
      <c r="D206" s="20">
        <v>6.9027611044417767e-003</v>
      </c>
      <c r="E206" s="20" t="s">
        <v>59</v>
      </c>
      <c r="F206" s="25" t="s">
        <v>205</v>
      </c>
      <c r="G206" s="16"/>
      <c r="H206" s="21" t="s">
        <v>206</v>
      </c>
      <c r="I206" s="16">
        <v>0</v>
      </c>
      <c r="J206" s="16">
        <v>102</v>
      </c>
      <c r="K206" s="16" t="s">
        <v>207</v>
      </c>
      <c r="L206" s="26">
        <v>0.79200000000000004</v>
      </c>
      <c r="M206" s="26">
        <v>-6.9740000000000002</v>
      </c>
      <c r="N206" s="26"/>
      <c r="O206" s="26"/>
      <c r="P206" s="26"/>
      <c r="Q206" s="20"/>
      <c r="R206" s="24"/>
    </row>
    <row r="207" s="3" customFormat="1">
      <c r="A207" s="16" t="s">
        <v>242</v>
      </c>
      <c r="B207" s="26">
        <v>316.19999999999999</v>
      </c>
      <c r="C207" s="24">
        <f t="shared" si="4"/>
        <v>514.02548019207507</v>
      </c>
      <c r="D207" s="20">
        <v>6.9027611044417767e-003</v>
      </c>
      <c r="E207" s="20" t="s">
        <v>59</v>
      </c>
      <c r="F207" s="25" t="s">
        <v>205</v>
      </c>
      <c r="G207" s="16"/>
      <c r="H207" s="21" t="s">
        <v>206</v>
      </c>
      <c r="I207" s="16">
        <v>0</v>
      </c>
      <c r="J207" s="16">
        <v>102</v>
      </c>
      <c r="K207" s="16" t="s">
        <v>207</v>
      </c>
      <c r="L207" s="26">
        <v>0.65400000000000003</v>
      </c>
      <c r="M207" s="26">
        <v>-6.25</v>
      </c>
      <c r="N207" s="26"/>
      <c r="O207" s="26">
        <v>44.043074169999997</v>
      </c>
      <c r="P207" s="23">
        <v>88.545076500000008</v>
      </c>
      <c r="Q207" s="27">
        <v>2.0442226262321173e-002</v>
      </c>
      <c r="R207" s="28">
        <v>8.5021824658928533e-002</v>
      </c>
    </row>
    <row r="208" s="3" customFormat="1">
      <c r="A208" s="16" t="s">
        <v>243</v>
      </c>
      <c r="B208" s="26">
        <v>315.19999999999999</v>
      </c>
      <c r="C208" s="24">
        <f t="shared" si="4"/>
        <v>514.03238295317954</v>
      </c>
      <c r="D208" s="20">
        <v>6.9027611044417767e-003</v>
      </c>
      <c r="E208" s="20" t="s">
        <v>59</v>
      </c>
      <c r="F208" s="25" t="s">
        <v>205</v>
      </c>
      <c r="G208" s="16"/>
      <c r="H208" s="21" t="s">
        <v>206</v>
      </c>
      <c r="I208" s="16">
        <v>0</v>
      </c>
      <c r="J208" s="16">
        <v>102</v>
      </c>
      <c r="K208" s="16" t="s">
        <v>207</v>
      </c>
      <c r="L208" s="26">
        <v>0.70599999999999996</v>
      </c>
      <c r="M208" s="26">
        <v>-5.9370000000000003</v>
      </c>
      <c r="N208" s="26">
        <v>32.490000000000002</v>
      </c>
      <c r="O208" s="26">
        <v>1658.366628</v>
      </c>
      <c r="P208" s="23">
        <v>89.233919999999998</v>
      </c>
      <c r="Q208" s="27">
        <v>8.8322309912893457e-002</v>
      </c>
      <c r="R208" s="28">
        <v>6.5573241793816198e-002</v>
      </c>
    </row>
    <row r="209" s="3" customFormat="1">
      <c r="A209" s="16" t="s">
        <v>244</v>
      </c>
      <c r="B209" s="26">
        <v>314.19999999999999</v>
      </c>
      <c r="C209" s="24">
        <f t="shared" si="4"/>
        <v>514.03928571428401</v>
      </c>
      <c r="D209" s="20">
        <v>6.9027611044417767e-003</v>
      </c>
      <c r="E209" s="20" t="s">
        <v>59</v>
      </c>
      <c r="F209" s="25" t="s">
        <v>205</v>
      </c>
      <c r="G209" s="16"/>
      <c r="H209" s="21" t="s">
        <v>206</v>
      </c>
      <c r="I209" s="16">
        <v>0</v>
      </c>
      <c r="J209" s="16">
        <v>102</v>
      </c>
      <c r="K209" s="16" t="s">
        <v>207</v>
      </c>
      <c r="L209" s="26">
        <v>0.499</v>
      </c>
      <c r="M209" s="26">
        <v>-6.1799999999999997</v>
      </c>
      <c r="N209" s="26"/>
      <c r="O209" s="26"/>
      <c r="P209" s="26"/>
      <c r="Q209" s="20"/>
      <c r="R209" s="24"/>
    </row>
    <row r="210" s="3" customFormat="1">
      <c r="A210" s="22" t="s">
        <v>245</v>
      </c>
      <c r="B210" s="23">
        <v>313</v>
      </c>
      <c r="C210" s="24">
        <f t="shared" si="4"/>
        <v>514.04756902760937</v>
      </c>
      <c r="D210" s="20">
        <v>6.9027611044417767e-003</v>
      </c>
      <c r="E210" s="20" t="s">
        <v>59</v>
      </c>
      <c r="F210" s="25" t="s">
        <v>205</v>
      </c>
      <c r="G210" s="22"/>
      <c r="H210" s="21" t="s">
        <v>206</v>
      </c>
      <c r="I210" s="16">
        <v>0</v>
      </c>
      <c r="J210" s="16">
        <v>102</v>
      </c>
      <c r="K210" s="16" t="s">
        <v>207</v>
      </c>
      <c r="L210" s="23">
        <v>0.16600000000000001</v>
      </c>
      <c r="M210" s="23">
        <v>-6.0430000000000001</v>
      </c>
      <c r="N210" s="26"/>
      <c r="O210" s="26"/>
      <c r="P210" s="26"/>
      <c r="Q210" s="20"/>
      <c r="R210" s="24"/>
    </row>
    <row r="211" s="3" customFormat="1">
      <c r="A211" s="16" t="s">
        <v>246</v>
      </c>
      <c r="B211" s="26">
        <v>312.5</v>
      </c>
      <c r="C211" s="24">
        <f t="shared" si="4"/>
        <v>514.05102040816155</v>
      </c>
      <c r="D211" s="20">
        <v>6.9027611044417767e-003</v>
      </c>
      <c r="E211" s="20" t="s">
        <v>59</v>
      </c>
      <c r="F211" s="25" t="s">
        <v>205</v>
      </c>
      <c r="G211" s="16"/>
      <c r="H211" s="21" t="s">
        <v>206</v>
      </c>
      <c r="I211" s="16">
        <v>0</v>
      </c>
      <c r="J211" s="16">
        <v>102</v>
      </c>
      <c r="K211" s="16" t="s">
        <v>207</v>
      </c>
      <c r="L211" s="26">
        <v>0.46000000000000002</v>
      </c>
      <c r="M211" s="26">
        <v>-5.944</v>
      </c>
      <c r="N211" s="26">
        <v>33.93</v>
      </c>
      <c r="O211" s="26">
        <v>37.167641060000001</v>
      </c>
      <c r="P211" s="23">
        <v>88.785245000000003</v>
      </c>
      <c r="Q211" s="27">
        <v>8.7011058920894446e-002</v>
      </c>
      <c r="R211" s="28">
        <v>5.3398300617111663e-002</v>
      </c>
    </row>
    <row r="212" s="3" customFormat="1">
      <c r="A212" s="16" t="s">
        <v>247</v>
      </c>
      <c r="B212" s="26">
        <v>312</v>
      </c>
      <c r="C212" s="24">
        <f t="shared" si="4"/>
        <v>514.05447178871373</v>
      </c>
      <c r="D212" s="20">
        <v>6.9027611044417767e-003</v>
      </c>
      <c r="E212" s="20" t="s">
        <v>59</v>
      </c>
      <c r="F212" s="25" t="s">
        <v>205</v>
      </c>
      <c r="G212" s="16"/>
      <c r="H212" s="21" t="s">
        <v>206</v>
      </c>
      <c r="I212" s="16">
        <v>0</v>
      </c>
      <c r="J212" s="16">
        <v>102</v>
      </c>
      <c r="K212" s="16" t="s">
        <v>207</v>
      </c>
      <c r="L212" s="26">
        <v>0.314</v>
      </c>
      <c r="M212" s="26">
        <v>-6.6360000000000001</v>
      </c>
      <c r="N212" s="26"/>
      <c r="O212" s="26"/>
      <c r="P212" s="26"/>
      <c r="Q212" s="20"/>
      <c r="R212" s="24"/>
    </row>
    <row r="213" s="3" customFormat="1">
      <c r="A213" s="16" t="s">
        <v>248</v>
      </c>
      <c r="B213" s="26">
        <v>311.5</v>
      </c>
      <c r="C213" s="24">
        <f t="shared" si="4"/>
        <v>514.05792316926591</v>
      </c>
      <c r="D213" s="20">
        <v>6.9027611044417767e-003</v>
      </c>
      <c r="E213" s="20" t="s">
        <v>59</v>
      </c>
      <c r="F213" s="25" t="s">
        <v>205</v>
      </c>
      <c r="G213" s="16"/>
      <c r="H213" s="21" t="s">
        <v>206</v>
      </c>
      <c r="I213" s="16">
        <v>0</v>
      </c>
      <c r="J213" s="16">
        <v>102</v>
      </c>
      <c r="K213" s="16" t="s">
        <v>207</v>
      </c>
      <c r="L213" s="26">
        <v>0.53300000000000003</v>
      </c>
      <c r="M213" s="26">
        <v>-5.8659999999999997</v>
      </c>
      <c r="N213" s="26"/>
      <c r="O213" s="26"/>
      <c r="P213" s="26"/>
      <c r="Q213" s="20"/>
      <c r="R213" s="24"/>
    </row>
    <row r="214" s="3" customFormat="1">
      <c r="A214" s="16" t="s">
        <v>249</v>
      </c>
      <c r="B214" s="26">
        <v>311</v>
      </c>
      <c r="C214" s="24">
        <f t="shared" si="4"/>
        <v>514.06137454981808</v>
      </c>
      <c r="D214" s="20">
        <v>6.9027611044417767e-003</v>
      </c>
      <c r="E214" s="20" t="s">
        <v>59</v>
      </c>
      <c r="F214" s="25" t="s">
        <v>205</v>
      </c>
      <c r="G214" s="16"/>
      <c r="H214" s="21" t="s">
        <v>206</v>
      </c>
      <c r="I214" s="16">
        <v>0</v>
      </c>
      <c r="J214" s="16">
        <v>102</v>
      </c>
      <c r="K214" s="16" t="s">
        <v>207</v>
      </c>
      <c r="L214" s="26">
        <v>0.44600000000000001</v>
      </c>
      <c r="M214" s="26">
        <v>-6.21</v>
      </c>
      <c r="N214" s="26"/>
      <c r="O214" s="26"/>
      <c r="P214" s="26"/>
      <c r="Q214" s="20"/>
      <c r="R214" s="24"/>
    </row>
    <row r="215" s="3" customFormat="1">
      <c r="A215" s="16" t="s">
        <v>250</v>
      </c>
      <c r="B215" s="26">
        <v>310.5</v>
      </c>
      <c r="C215" s="24">
        <f t="shared" si="4"/>
        <v>514.06482593037026</v>
      </c>
      <c r="D215" s="20">
        <v>6.9027611044417767e-003</v>
      </c>
      <c r="E215" s="20" t="s">
        <v>59</v>
      </c>
      <c r="F215" s="25" t="s">
        <v>205</v>
      </c>
      <c r="G215" s="16"/>
      <c r="H215" s="21" t="s">
        <v>206</v>
      </c>
      <c r="I215" s="16">
        <v>0</v>
      </c>
      <c r="J215" s="16">
        <v>102</v>
      </c>
      <c r="K215" s="16" t="s">
        <v>207</v>
      </c>
      <c r="L215" s="26">
        <v>0.29799999999999999</v>
      </c>
      <c r="M215" s="26">
        <v>-6.5759999999999996</v>
      </c>
      <c r="N215" s="26"/>
      <c r="O215" s="26"/>
      <c r="P215" s="26"/>
      <c r="Q215" s="20"/>
      <c r="R215" s="24"/>
    </row>
    <row r="216" s="3" customFormat="1">
      <c r="A216" s="16" t="s">
        <v>251</v>
      </c>
      <c r="B216" s="26">
        <v>310.09999999999997</v>
      </c>
      <c r="C216" s="24">
        <f t="shared" si="4"/>
        <v>514.06758703481205</v>
      </c>
      <c r="D216" s="20">
        <v>6.9027611044417767e-003</v>
      </c>
      <c r="E216" s="20" t="s">
        <v>59</v>
      </c>
      <c r="F216" s="25" t="s">
        <v>205</v>
      </c>
      <c r="G216" s="16"/>
      <c r="H216" s="21" t="s">
        <v>206</v>
      </c>
      <c r="I216" s="16">
        <v>0</v>
      </c>
      <c r="J216" s="16">
        <v>102</v>
      </c>
      <c r="K216" s="16" t="s">
        <v>207</v>
      </c>
      <c r="L216" s="26">
        <v>0.28100000000000003</v>
      </c>
      <c r="M216" s="26">
        <v>-6.8120000000000003</v>
      </c>
      <c r="N216" s="26">
        <v>31.16</v>
      </c>
      <c r="O216" s="26">
        <v>27.945166740000001</v>
      </c>
      <c r="P216" s="23">
        <v>88.779100000000014</v>
      </c>
      <c r="Q216" s="27">
        <v>5.9174015392684208e-002</v>
      </c>
      <c r="R216" s="28">
        <v>0.14469510109610509</v>
      </c>
    </row>
    <row r="217" s="3" customFormat="1">
      <c r="A217" s="16" t="s">
        <v>252</v>
      </c>
      <c r="B217" s="26">
        <v>309.59999999999997</v>
      </c>
      <c r="C217" s="24">
        <f t="shared" si="4"/>
        <v>514.07103841536423</v>
      </c>
      <c r="D217" s="20">
        <v>6.9027611044417767e-003</v>
      </c>
      <c r="E217" s="20" t="s">
        <v>59</v>
      </c>
      <c r="F217" s="25" t="s">
        <v>205</v>
      </c>
      <c r="G217" s="16"/>
      <c r="H217" s="21" t="s">
        <v>206</v>
      </c>
      <c r="I217" s="16">
        <v>0</v>
      </c>
      <c r="J217" s="16">
        <v>102</v>
      </c>
      <c r="K217" s="16" t="s">
        <v>207</v>
      </c>
      <c r="L217" s="26">
        <v>0.14699999999999999</v>
      </c>
      <c r="M217" s="26">
        <v>-6.282</v>
      </c>
      <c r="N217" s="26"/>
      <c r="O217" s="26"/>
      <c r="P217" s="26"/>
      <c r="Q217" s="20"/>
      <c r="R217" s="24"/>
    </row>
    <row r="218" s="3" customFormat="1">
      <c r="A218" s="16" t="s">
        <v>253</v>
      </c>
      <c r="B218" s="26">
        <v>309</v>
      </c>
      <c r="C218" s="24">
        <f t="shared" si="4"/>
        <v>514.07518007202691</v>
      </c>
      <c r="D218" s="20">
        <v>6.9027611044417767e-003</v>
      </c>
      <c r="E218" s="20" t="s">
        <v>59</v>
      </c>
      <c r="F218" s="25" t="s">
        <v>205</v>
      </c>
      <c r="G218" s="16"/>
      <c r="H218" s="21" t="s">
        <v>206</v>
      </c>
      <c r="I218" s="16">
        <v>0</v>
      </c>
      <c r="J218" s="16">
        <v>102</v>
      </c>
      <c r="K218" s="16" t="s">
        <v>207</v>
      </c>
      <c r="L218" s="26">
        <v>0.41299999999999998</v>
      </c>
      <c r="M218" s="26">
        <v>-6.4340000000000002</v>
      </c>
      <c r="N218" s="26"/>
      <c r="O218" s="26"/>
      <c r="P218" s="26"/>
      <c r="Q218" s="20"/>
      <c r="R218" s="24"/>
    </row>
    <row r="219" s="3" customFormat="1">
      <c r="A219" s="16" t="s">
        <v>254</v>
      </c>
      <c r="B219" s="26">
        <v>308.5</v>
      </c>
      <c r="C219" s="24">
        <f t="shared" si="4"/>
        <v>514.07863145257909</v>
      </c>
      <c r="D219" s="20">
        <v>6.9027611044417767e-003</v>
      </c>
      <c r="E219" s="20" t="s">
        <v>59</v>
      </c>
      <c r="F219" s="25" t="s">
        <v>205</v>
      </c>
      <c r="G219" s="16"/>
      <c r="H219" s="21" t="s">
        <v>206</v>
      </c>
      <c r="I219" s="16">
        <v>0</v>
      </c>
      <c r="J219" s="16">
        <v>102</v>
      </c>
      <c r="K219" s="16" t="s">
        <v>207</v>
      </c>
      <c r="L219" s="26">
        <v>0.27100000000000002</v>
      </c>
      <c r="M219" s="26">
        <v>-6.9320000000000004</v>
      </c>
      <c r="N219" s="26"/>
      <c r="O219" s="26">
        <v>40.219570490000002</v>
      </c>
      <c r="P219" s="26"/>
      <c r="Q219" s="20"/>
      <c r="R219" s="24"/>
    </row>
    <row r="220" s="3" customFormat="1">
      <c r="A220" s="16" t="s">
        <v>255</v>
      </c>
      <c r="B220" s="26">
        <v>308</v>
      </c>
      <c r="C220" s="24">
        <f t="shared" si="4"/>
        <v>514.08208283313127</v>
      </c>
      <c r="D220" s="20">
        <v>6.9027611044417767e-003</v>
      </c>
      <c r="E220" s="20" t="s">
        <v>59</v>
      </c>
      <c r="F220" s="25" t="s">
        <v>205</v>
      </c>
      <c r="G220" s="16"/>
      <c r="H220" s="21" t="s">
        <v>206</v>
      </c>
      <c r="I220" s="16">
        <v>0</v>
      </c>
      <c r="J220" s="16">
        <v>102</v>
      </c>
      <c r="K220" s="16" t="s">
        <v>207</v>
      </c>
      <c r="L220" s="26">
        <v>0.52000000000000002</v>
      </c>
      <c r="M220" s="26">
        <v>-6.5199999999999996</v>
      </c>
      <c r="N220" s="26"/>
      <c r="O220" s="26"/>
      <c r="P220" s="26"/>
      <c r="Q220" s="20"/>
      <c r="R220" s="24"/>
    </row>
    <row r="221" s="3" customFormat="1">
      <c r="A221" s="16" t="s">
        <v>256</v>
      </c>
      <c r="B221" s="26">
        <v>307.5</v>
      </c>
      <c r="C221" s="24">
        <f t="shared" si="4"/>
        <v>514.08553421368345</v>
      </c>
      <c r="D221" s="20">
        <v>6.9027611044417767e-003</v>
      </c>
      <c r="E221" s="20" t="s">
        <v>59</v>
      </c>
      <c r="F221" s="25" t="s">
        <v>205</v>
      </c>
      <c r="G221" s="16"/>
      <c r="H221" s="21" t="s">
        <v>206</v>
      </c>
      <c r="I221" s="16">
        <v>0</v>
      </c>
      <c r="J221" s="16">
        <v>102</v>
      </c>
      <c r="K221" s="16" t="s">
        <v>207</v>
      </c>
      <c r="L221" s="26">
        <v>0.311</v>
      </c>
      <c r="M221" s="26">
        <v>-6.4710000000000001</v>
      </c>
      <c r="N221" s="26"/>
      <c r="O221" s="26"/>
      <c r="P221" s="26"/>
      <c r="Q221" s="20"/>
      <c r="R221" s="24"/>
    </row>
    <row r="222" s="3" customFormat="1">
      <c r="A222" s="16" t="s">
        <v>257</v>
      </c>
      <c r="B222" s="26">
        <v>307</v>
      </c>
      <c r="C222" s="24">
        <f t="shared" si="4"/>
        <v>514.08898559423562</v>
      </c>
      <c r="D222" s="20">
        <v>6.9027611044417767e-003</v>
      </c>
      <c r="E222" s="20" t="s">
        <v>59</v>
      </c>
      <c r="F222" s="25" t="s">
        <v>205</v>
      </c>
      <c r="G222" s="16"/>
      <c r="H222" s="21" t="s">
        <v>206</v>
      </c>
      <c r="I222" s="16">
        <v>0</v>
      </c>
      <c r="J222" s="16">
        <v>102</v>
      </c>
      <c r="K222" s="16" t="s">
        <v>207</v>
      </c>
      <c r="L222" s="26">
        <v>0.33200000000000002</v>
      </c>
      <c r="M222" s="26">
        <v>-6.0499999999999998</v>
      </c>
      <c r="N222" s="26"/>
      <c r="O222" s="26">
        <v>53.143857529999998</v>
      </c>
      <c r="P222" s="23">
        <v>87.527209999999997</v>
      </c>
      <c r="Q222" s="27">
        <v>5.5186631343481063e-002</v>
      </c>
      <c r="R222" s="28">
        <v>7.1885703455340497e-002</v>
      </c>
    </row>
    <row r="223" s="3" customFormat="1">
      <c r="A223" s="16" t="s">
        <v>258</v>
      </c>
      <c r="B223" s="26">
        <v>302.19999999999999</v>
      </c>
      <c r="C223" s="24">
        <f t="shared" si="4"/>
        <v>514.12211884753697</v>
      </c>
      <c r="D223" s="20">
        <v>6.9027611044417767e-003</v>
      </c>
      <c r="E223" s="20" t="s">
        <v>59</v>
      </c>
      <c r="F223" s="25" t="s">
        <v>205</v>
      </c>
      <c r="G223" s="16"/>
      <c r="H223" s="21" t="s">
        <v>206</v>
      </c>
      <c r="I223" s="16">
        <v>0</v>
      </c>
      <c r="J223" s="16">
        <v>102</v>
      </c>
      <c r="K223" s="16" t="s">
        <v>207</v>
      </c>
      <c r="L223" s="26">
        <v>0.28100000000000003</v>
      </c>
      <c r="M223" s="26">
        <v>-7.0960000000000001</v>
      </c>
      <c r="N223" s="26">
        <v>25.25</v>
      </c>
      <c r="O223" s="26">
        <v>45.670007990000002</v>
      </c>
      <c r="P223" s="23">
        <v>87.774794499999999</v>
      </c>
      <c r="Q223" s="27">
        <v>2.0561922203501577e-002</v>
      </c>
      <c r="R223" s="28">
        <v>8.0072931702499434e-002</v>
      </c>
    </row>
    <row r="224" s="3" customFormat="1">
      <c r="A224" s="16" t="s">
        <v>259</v>
      </c>
      <c r="B224" s="26">
        <v>301.69999999999999</v>
      </c>
      <c r="C224" s="24">
        <f t="shared" si="4"/>
        <v>514.12557022808915</v>
      </c>
      <c r="D224" s="20">
        <v>6.9027611044417767e-003</v>
      </c>
      <c r="E224" s="20" t="s">
        <v>59</v>
      </c>
      <c r="F224" s="25" t="s">
        <v>205</v>
      </c>
      <c r="G224" s="16"/>
      <c r="H224" s="21" t="s">
        <v>206</v>
      </c>
      <c r="I224" s="16">
        <v>0</v>
      </c>
      <c r="J224" s="16">
        <v>102</v>
      </c>
      <c r="K224" s="16" t="s">
        <v>207</v>
      </c>
      <c r="L224" s="26">
        <v>0.53300000000000003</v>
      </c>
      <c r="M224" s="26">
        <v>-5.9589999999999996</v>
      </c>
      <c r="N224" s="26"/>
      <c r="O224" s="26"/>
      <c r="P224" s="26"/>
      <c r="Q224" s="20"/>
      <c r="R224" s="24"/>
    </row>
    <row r="225" s="3" customFormat="1">
      <c r="A225" s="16" t="s">
        <v>260</v>
      </c>
      <c r="B225" s="26">
        <v>301.19999999999999</v>
      </c>
      <c r="C225" s="24">
        <f t="shared" si="4"/>
        <v>514.12902160864132</v>
      </c>
      <c r="D225" s="20">
        <v>6.9027611044417767e-003</v>
      </c>
      <c r="E225" s="20" t="s">
        <v>59</v>
      </c>
      <c r="F225" s="25" t="s">
        <v>205</v>
      </c>
      <c r="G225" s="16"/>
      <c r="H225" s="21" t="s">
        <v>206</v>
      </c>
      <c r="I225" s="16">
        <v>0</v>
      </c>
      <c r="J225" s="16">
        <v>102</v>
      </c>
      <c r="K225" s="16" t="s">
        <v>207</v>
      </c>
      <c r="L225" s="26">
        <v>0.32300000000000001</v>
      </c>
      <c r="M225" s="26">
        <v>-5.9009999999999998</v>
      </c>
      <c r="N225" s="26"/>
      <c r="O225" s="26"/>
      <c r="P225" s="26"/>
      <c r="Q225" s="20"/>
      <c r="R225" s="24"/>
    </row>
    <row r="226" s="3" customFormat="1">
      <c r="A226" s="16" t="s">
        <v>261</v>
      </c>
      <c r="B226" s="26">
        <v>300.59999999999997</v>
      </c>
      <c r="C226" s="24">
        <f t="shared" si="4"/>
        <v>514.13316326530401</v>
      </c>
      <c r="D226" s="20">
        <v>6.9027611044417767e-003</v>
      </c>
      <c r="E226" s="20" t="s">
        <v>59</v>
      </c>
      <c r="F226" s="25" t="s">
        <v>205</v>
      </c>
      <c r="G226" s="16"/>
      <c r="H226" s="21" t="s">
        <v>206</v>
      </c>
      <c r="I226" s="16">
        <v>0</v>
      </c>
      <c r="J226" s="16">
        <v>102</v>
      </c>
      <c r="K226" s="16" t="s">
        <v>207</v>
      </c>
      <c r="L226" s="26">
        <v>0.31</v>
      </c>
      <c r="M226" s="26">
        <v>-5.8280000000000003</v>
      </c>
      <c r="N226" s="26">
        <v>27.170000000000002</v>
      </c>
      <c r="O226" s="26">
        <v>120.19367630000001</v>
      </c>
      <c r="P226" s="23">
        <v>85.10351</v>
      </c>
      <c r="Q226" s="27">
        <v>4.8360244395097042e-002</v>
      </c>
      <c r="R226" s="28">
        <v>5.8492266878417638e-002</v>
      </c>
    </row>
    <row r="227" s="3" customFormat="1">
      <c r="A227" s="16" t="s">
        <v>262</v>
      </c>
      <c r="B227" s="26">
        <v>300</v>
      </c>
      <c r="C227" s="24">
        <f t="shared" si="4"/>
        <v>514.13730492196669</v>
      </c>
      <c r="D227" s="20">
        <v>6.9027611044417767e-003</v>
      </c>
      <c r="E227" s="20" t="s">
        <v>59</v>
      </c>
      <c r="F227" s="25" t="s">
        <v>263</v>
      </c>
      <c r="G227" s="21" t="s">
        <v>264</v>
      </c>
      <c r="H227" s="21" t="s">
        <v>265</v>
      </c>
      <c r="I227" s="16">
        <v>77</v>
      </c>
      <c r="J227" s="16">
        <v>303</v>
      </c>
      <c r="K227" s="16" t="s">
        <v>207</v>
      </c>
      <c r="L227" s="26">
        <v>0.496</v>
      </c>
      <c r="M227" s="26">
        <v>-5.9059999999999997</v>
      </c>
      <c r="N227" s="26"/>
      <c r="O227" s="26"/>
      <c r="P227" s="26"/>
      <c r="Q227" s="20"/>
      <c r="R227" s="24"/>
    </row>
    <row r="228" s="3" customFormat="1">
      <c r="A228" s="16" t="s">
        <v>266</v>
      </c>
      <c r="B228" s="26">
        <v>299.39999999999998</v>
      </c>
      <c r="C228" s="24">
        <f t="shared" si="4"/>
        <v>514.14144657862937</v>
      </c>
      <c r="D228" s="20">
        <v>6.9027611044417767e-003</v>
      </c>
      <c r="E228" s="20" t="s">
        <v>59</v>
      </c>
      <c r="F228" s="25" t="s">
        <v>263</v>
      </c>
      <c r="G228" s="21" t="s">
        <v>264</v>
      </c>
      <c r="H228" s="21" t="s">
        <v>265</v>
      </c>
      <c r="I228" s="16">
        <v>77</v>
      </c>
      <c r="J228" s="16">
        <v>303</v>
      </c>
      <c r="K228" s="16" t="s">
        <v>207</v>
      </c>
      <c r="L228" s="26">
        <v>3.5999999999999997e-002</v>
      </c>
      <c r="M228" s="26">
        <v>-7.1289999999999996</v>
      </c>
      <c r="N228" s="26">
        <v>30.690000000000001</v>
      </c>
      <c r="O228" s="26">
        <v>38.564444129999998</v>
      </c>
      <c r="P228" s="23">
        <v>87.333452500000007</v>
      </c>
      <c r="Q228" s="27">
        <v>2.503414764225715e-002</v>
      </c>
      <c r="R228" s="28">
        <v>7.4969107894742357e-002</v>
      </c>
    </row>
    <row r="229" s="3" customFormat="1">
      <c r="A229" s="16" t="s">
        <v>267</v>
      </c>
      <c r="B229" s="26">
        <v>298.80000000000001</v>
      </c>
      <c r="C229" s="24">
        <f t="shared" si="4"/>
        <v>514.14558823529205</v>
      </c>
      <c r="D229" s="20">
        <v>6.9027611044417767e-003</v>
      </c>
      <c r="E229" s="20" t="s">
        <v>59</v>
      </c>
      <c r="F229" s="25" t="s">
        <v>263</v>
      </c>
      <c r="G229" s="21" t="s">
        <v>264</v>
      </c>
      <c r="H229" s="21" t="s">
        <v>265</v>
      </c>
      <c r="I229" s="16">
        <v>77</v>
      </c>
      <c r="J229" s="16">
        <v>303</v>
      </c>
      <c r="K229" s="16" t="s">
        <v>207</v>
      </c>
      <c r="L229" s="26">
        <v>0.54200000000000004</v>
      </c>
      <c r="M229" s="26">
        <v>-5.7359999999999998</v>
      </c>
      <c r="N229" s="26"/>
      <c r="O229" s="26"/>
      <c r="P229" s="26"/>
      <c r="Q229" s="20"/>
      <c r="R229" s="24"/>
    </row>
    <row r="230" s="3" customFormat="1">
      <c r="A230" s="16" t="s">
        <v>268</v>
      </c>
      <c r="B230" s="26">
        <v>298.69999999999999</v>
      </c>
      <c r="C230" s="24">
        <f t="shared" si="4"/>
        <v>514.14627851140244</v>
      </c>
      <c r="D230" s="20">
        <v>6.9027611044417767e-003</v>
      </c>
      <c r="E230" s="20" t="s">
        <v>59</v>
      </c>
      <c r="F230" s="25" t="s">
        <v>263</v>
      </c>
      <c r="G230" s="21" t="s">
        <v>264</v>
      </c>
      <c r="H230" s="21" t="s">
        <v>265</v>
      </c>
      <c r="I230" s="16">
        <v>77</v>
      </c>
      <c r="J230" s="16">
        <v>303</v>
      </c>
      <c r="K230" s="16" t="s">
        <v>207</v>
      </c>
      <c r="L230" s="26">
        <v>0.495</v>
      </c>
      <c r="M230" s="26">
        <v>-6.3129999999999997</v>
      </c>
      <c r="N230" s="26"/>
      <c r="O230" s="26"/>
      <c r="P230" s="26"/>
      <c r="Q230" s="20"/>
      <c r="R230" s="24"/>
    </row>
    <row r="231" s="3" customFormat="1">
      <c r="A231" s="16" t="s">
        <v>269</v>
      </c>
      <c r="B231" s="26">
        <v>298.39999999999998</v>
      </c>
      <c r="C231" s="24">
        <f t="shared" si="4"/>
        <v>514.14834933973373</v>
      </c>
      <c r="D231" s="20">
        <v>6.9027611044417767e-003</v>
      </c>
      <c r="E231" s="20" t="s">
        <v>59</v>
      </c>
      <c r="F231" s="25" t="s">
        <v>263</v>
      </c>
      <c r="G231" s="21" t="s">
        <v>264</v>
      </c>
      <c r="H231" s="21" t="s">
        <v>265</v>
      </c>
      <c r="I231" s="16">
        <v>77</v>
      </c>
      <c r="J231" s="16">
        <v>303</v>
      </c>
      <c r="K231" s="16" t="s">
        <v>207</v>
      </c>
      <c r="L231" s="26">
        <v>0.27300000000000002</v>
      </c>
      <c r="M231" s="26">
        <v>-5.7489999999999997</v>
      </c>
      <c r="N231" s="26">
        <v>18.199999999999999</v>
      </c>
      <c r="O231" s="26">
        <v>74.717149120000002</v>
      </c>
      <c r="P231" s="23">
        <v>86.588045000000022</v>
      </c>
      <c r="Q231" s="27">
        <v>3.2838259409474851e-002</v>
      </c>
      <c r="R231" s="28">
        <v>7.0226369703411298e-002</v>
      </c>
    </row>
    <row r="232" s="3" customFormat="1">
      <c r="A232" s="16" t="s">
        <v>270</v>
      </c>
      <c r="B232" s="26">
        <v>297.69999999999999</v>
      </c>
      <c r="C232" s="24">
        <f t="shared" si="4"/>
        <v>514.1531812725068</v>
      </c>
      <c r="D232" s="20">
        <v>6.9027611044417767e-003</v>
      </c>
      <c r="E232" s="20" t="s">
        <v>59</v>
      </c>
      <c r="F232" s="25" t="s">
        <v>263</v>
      </c>
      <c r="G232" s="21" t="s">
        <v>264</v>
      </c>
      <c r="H232" s="21" t="s">
        <v>265</v>
      </c>
      <c r="I232" s="16">
        <v>77</v>
      </c>
      <c r="J232" s="16">
        <v>303</v>
      </c>
      <c r="K232" s="16" t="s">
        <v>207</v>
      </c>
      <c r="L232" s="26">
        <v>0.11700000000000001</v>
      </c>
      <c r="M232" s="26">
        <v>-6.1269999999999998</v>
      </c>
      <c r="N232" s="26"/>
      <c r="O232" s="26"/>
      <c r="P232" s="26"/>
      <c r="Q232" s="20"/>
      <c r="R232" s="24"/>
    </row>
    <row r="233" s="3" customFormat="1">
      <c r="A233" s="16" t="s">
        <v>271</v>
      </c>
      <c r="B233" s="26">
        <v>297.19999999999999</v>
      </c>
      <c r="C233" s="24">
        <f t="shared" si="4"/>
        <v>514.15663265305898</v>
      </c>
      <c r="D233" s="20">
        <v>6.9027611044417767e-003</v>
      </c>
      <c r="E233" s="20" t="s">
        <v>59</v>
      </c>
      <c r="F233" s="25" t="s">
        <v>263</v>
      </c>
      <c r="G233" s="21" t="s">
        <v>264</v>
      </c>
      <c r="H233" s="21" t="s">
        <v>265</v>
      </c>
      <c r="I233" s="16">
        <v>77</v>
      </c>
      <c r="J233" s="16">
        <v>303</v>
      </c>
      <c r="K233" s="16" t="s">
        <v>207</v>
      </c>
      <c r="L233" s="26">
        <v>0.32200000000000001</v>
      </c>
      <c r="M233" s="26">
        <v>-6.6219999999999999</v>
      </c>
      <c r="N233" s="26">
        <v>25.379999999999999</v>
      </c>
      <c r="O233" s="26">
        <v>43.862527909999997</v>
      </c>
      <c r="P233" s="23">
        <v>87.682765000000018</v>
      </c>
      <c r="Q233" s="27">
        <v>3.4970884762277894e-002</v>
      </c>
      <c r="R233" s="28">
        <v>9.3541647090037747e-002</v>
      </c>
    </row>
    <row r="234" s="3" customFormat="1">
      <c r="A234" s="16" t="s">
        <v>272</v>
      </c>
      <c r="B234" s="26">
        <v>296.89999999999998</v>
      </c>
      <c r="C234" s="24">
        <f t="shared" si="4"/>
        <v>514.15870348139026</v>
      </c>
      <c r="D234" s="20">
        <v>6.9027611044417767e-003</v>
      </c>
      <c r="E234" s="20" t="s">
        <v>59</v>
      </c>
      <c r="F234" s="25" t="s">
        <v>263</v>
      </c>
      <c r="G234" s="21" t="s">
        <v>264</v>
      </c>
      <c r="H234" s="21" t="s">
        <v>265</v>
      </c>
      <c r="I234" s="16">
        <v>77</v>
      </c>
      <c r="J234" s="16">
        <v>303</v>
      </c>
      <c r="K234" s="16" t="s">
        <v>207</v>
      </c>
      <c r="L234" s="26">
        <v>0.28399999999999997</v>
      </c>
      <c r="M234" s="26">
        <v>-6.4809999999999999</v>
      </c>
      <c r="N234" s="26"/>
      <c r="O234" s="26"/>
      <c r="P234" s="26"/>
      <c r="Q234" s="20"/>
      <c r="R234" s="24"/>
    </row>
    <row r="235" s="3" customFormat="1">
      <c r="A235" s="16" t="s">
        <v>273</v>
      </c>
      <c r="B235" s="26">
        <v>296.39999999999998</v>
      </c>
      <c r="C235" s="24">
        <f t="shared" si="4"/>
        <v>514.16215486194244</v>
      </c>
      <c r="D235" s="20">
        <v>6.9027611044417767e-003</v>
      </c>
      <c r="E235" s="20" t="s">
        <v>59</v>
      </c>
      <c r="F235" s="25" t="s">
        <v>263</v>
      </c>
      <c r="G235" s="21" t="s">
        <v>264</v>
      </c>
      <c r="H235" s="21" t="s">
        <v>265</v>
      </c>
      <c r="I235" s="16">
        <v>77</v>
      </c>
      <c r="J235" s="16">
        <v>303</v>
      </c>
      <c r="K235" s="16" t="s">
        <v>207</v>
      </c>
      <c r="L235" s="26">
        <v>0.28799999999999998</v>
      </c>
      <c r="M235" s="26">
        <v>-6.5579999999999998</v>
      </c>
      <c r="N235" s="26"/>
      <c r="O235" s="26">
        <v>52.094278750000001</v>
      </c>
      <c r="P235" s="26"/>
      <c r="Q235" s="20"/>
      <c r="R235" s="24"/>
    </row>
    <row r="236" s="3" customFormat="1">
      <c r="A236" s="16" t="s">
        <v>274</v>
      </c>
      <c r="B236" s="26">
        <v>295.89999999999998</v>
      </c>
      <c r="C236" s="24">
        <f t="shared" si="4"/>
        <v>514.16560624249462</v>
      </c>
      <c r="D236" s="20">
        <v>6.9027611044417767e-003</v>
      </c>
      <c r="E236" s="20" t="s">
        <v>59</v>
      </c>
      <c r="F236" s="25" t="s">
        <v>263</v>
      </c>
      <c r="G236" s="21" t="s">
        <v>264</v>
      </c>
      <c r="H236" s="21" t="s">
        <v>265</v>
      </c>
      <c r="I236" s="16">
        <v>77</v>
      </c>
      <c r="J236" s="16">
        <v>303</v>
      </c>
      <c r="K236" s="16" t="s">
        <v>207</v>
      </c>
      <c r="L236" s="26">
        <v>0.33000000000000002</v>
      </c>
      <c r="M236" s="26">
        <v>-6.2770000000000001</v>
      </c>
      <c r="N236" s="26"/>
      <c r="O236" s="26"/>
      <c r="P236" s="26"/>
      <c r="Q236" s="20"/>
      <c r="R236" s="24"/>
    </row>
    <row r="237" s="3" customFormat="1">
      <c r="A237" s="22" t="s">
        <v>275</v>
      </c>
      <c r="B237" s="23">
        <v>295.30000000000001</v>
      </c>
      <c r="C237" s="24">
        <f t="shared" si="4"/>
        <v>514.1697478991573</v>
      </c>
      <c r="D237" s="20">
        <v>6.9027611044417767e-003</v>
      </c>
      <c r="E237" s="20" t="s">
        <v>59</v>
      </c>
      <c r="F237" s="25" t="s">
        <v>263</v>
      </c>
      <c r="G237" s="21" t="s">
        <v>264</v>
      </c>
      <c r="H237" s="21" t="s">
        <v>265</v>
      </c>
      <c r="I237" s="16">
        <v>77</v>
      </c>
      <c r="J237" s="16">
        <v>303</v>
      </c>
      <c r="K237" s="16" t="s">
        <v>207</v>
      </c>
      <c r="L237" s="23">
        <v>0.57999999999999996</v>
      </c>
      <c r="M237" s="23">
        <v>-5.8129999999999997</v>
      </c>
      <c r="N237" s="26"/>
      <c r="O237" s="26"/>
      <c r="P237" s="26"/>
      <c r="Q237" s="20"/>
      <c r="R237" s="24"/>
    </row>
    <row r="238" s="3" customFormat="1">
      <c r="A238" s="22" t="s">
        <v>276</v>
      </c>
      <c r="B238" s="23">
        <v>294.39999999999998</v>
      </c>
      <c r="C238" s="24">
        <f t="shared" si="4"/>
        <v>514.17596038415127</v>
      </c>
      <c r="D238" s="20">
        <v>6.9027611044417767e-003</v>
      </c>
      <c r="E238" s="20" t="s">
        <v>59</v>
      </c>
      <c r="F238" s="25" t="s">
        <v>263</v>
      </c>
      <c r="G238" s="21" t="s">
        <v>264</v>
      </c>
      <c r="H238" s="21" t="s">
        <v>265</v>
      </c>
      <c r="I238" s="16">
        <v>77</v>
      </c>
      <c r="J238" s="16">
        <v>303</v>
      </c>
      <c r="K238" s="16" t="s">
        <v>207</v>
      </c>
      <c r="L238" s="23">
        <v>0.44600000000000001</v>
      </c>
      <c r="M238" s="23">
        <v>-5.742</v>
      </c>
      <c r="N238" s="26">
        <v>21.77</v>
      </c>
      <c r="O238" s="26">
        <v>48.358965169999998</v>
      </c>
      <c r="P238" s="23">
        <v>86.688190000000006</v>
      </c>
      <c r="Q238" s="27">
        <v>4.2853081524912344e-002</v>
      </c>
      <c r="R238" s="28">
        <v>4.4988029318139257e-002</v>
      </c>
    </row>
    <row r="239" s="3" customFormat="1">
      <c r="A239" s="22" t="s">
        <v>277</v>
      </c>
      <c r="B239" s="23">
        <v>293.39999999999998</v>
      </c>
      <c r="C239" s="24">
        <f t="shared" si="4"/>
        <v>514.18286314525574</v>
      </c>
      <c r="D239" s="20">
        <v>6.9027611044417767e-003</v>
      </c>
      <c r="E239" s="20" t="s">
        <v>59</v>
      </c>
      <c r="F239" s="25" t="s">
        <v>263</v>
      </c>
      <c r="G239" s="21" t="s">
        <v>264</v>
      </c>
      <c r="H239" s="21" t="s">
        <v>265</v>
      </c>
      <c r="I239" s="16">
        <v>77</v>
      </c>
      <c r="J239" s="16">
        <v>303</v>
      </c>
      <c r="K239" s="16" t="s">
        <v>207</v>
      </c>
      <c r="L239" s="23">
        <v>0.20300000000000001</v>
      </c>
      <c r="M239" s="23">
        <v>-6.6440000000000001</v>
      </c>
      <c r="N239" s="26"/>
      <c r="O239" s="26"/>
      <c r="P239" s="26"/>
      <c r="Q239" s="20"/>
      <c r="R239" s="24"/>
    </row>
    <row r="240" s="3" customFormat="1">
      <c r="A240" s="22" t="s">
        <v>278</v>
      </c>
      <c r="B240" s="23">
        <v>291.89999999999998</v>
      </c>
      <c r="C240" s="24">
        <f t="shared" si="4"/>
        <v>514.19321728691239</v>
      </c>
      <c r="D240" s="20">
        <v>6.9027611044417767e-003</v>
      </c>
      <c r="E240" s="20" t="s">
        <v>59</v>
      </c>
      <c r="F240" s="25" t="s">
        <v>263</v>
      </c>
      <c r="G240" s="21" t="s">
        <v>264</v>
      </c>
      <c r="H240" s="21" t="s">
        <v>265</v>
      </c>
      <c r="I240" s="16">
        <v>77</v>
      </c>
      <c r="J240" s="16">
        <v>303</v>
      </c>
      <c r="K240" s="16" t="s">
        <v>207</v>
      </c>
      <c r="L240" s="23">
        <v>0.46100000000000002</v>
      </c>
      <c r="M240" s="23">
        <v>-6.1909999999999998</v>
      </c>
      <c r="N240" s="26">
        <v>15.779999999999999</v>
      </c>
      <c r="O240" s="26">
        <v>107.7143234</v>
      </c>
      <c r="P240" s="23">
        <v>87.461725000000001</v>
      </c>
      <c r="Q240" s="27">
        <v>6.0770867450746863e-002</v>
      </c>
      <c r="R240" s="28">
        <v>6.2369614866162826e-002</v>
      </c>
    </row>
    <row r="241" s="3" customFormat="1">
      <c r="A241" s="22" t="s">
        <v>279</v>
      </c>
      <c r="B241" s="23">
        <v>290.89999999999998</v>
      </c>
      <c r="C241" s="24">
        <f t="shared" si="4"/>
        <v>514.20012004801686</v>
      </c>
      <c r="D241" s="20">
        <v>6.9027611044417767e-003</v>
      </c>
      <c r="E241" s="20" t="s">
        <v>59</v>
      </c>
      <c r="F241" s="25" t="s">
        <v>263</v>
      </c>
      <c r="G241" s="21" t="s">
        <v>264</v>
      </c>
      <c r="H241" s="21" t="s">
        <v>265</v>
      </c>
      <c r="I241" s="16">
        <v>77</v>
      </c>
      <c r="J241" s="16">
        <v>303</v>
      </c>
      <c r="K241" s="16" t="s">
        <v>207</v>
      </c>
      <c r="L241" s="23">
        <v>0.254</v>
      </c>
      <c r="M241" s="23">
        <v>-6.6600000000000001</v>
      </c>
      <c r="N241" s="26"/>
      <c r="O241" s="26"/>
      <c r="P241" s="26"/>
      <c r="Q241" s="20"/>
      <c r="R241" s="24"/>
    </row>
    <row r="242" s="3" customFormat="1">
      <c r="A242" s="16" t="s">
        <v>280</v>
      </c>
      <c r="B242" s="26">
        <v>289.69999999999999</v>
      </c>
      <c r="C242" s="24">
        <f t="shared" si="4"/>
        <v>514.20840336134222</v>
      </c>
      <c r="D242" s="20">
        <v>6.9027611044417767e-003</v>
      </c>
      <c r="E242" s="20" t="s">
        <v>59</v>
      </c>
      <c r="F242" s="25" t="s">
        <v>263</v>
      </c>
      <c r="G242" s="21" t="s">
        <v>264</v>
      </c>
      <c r="H242" s="21" t="s">
        <v>265</v>
      </c>
      <c r="I242" s="16">
        <v>77</v>
      </c>
      <c r="J242" s="16">
        <v>303</v>
      </c>
      <c r="K242" s="16" t="s">
        <v>207</v>
      </c>
      <c r="L242" s="26">
        <v>0.434</v>
      </c>
      <c r="M242" s="26">
        <v>-5.8280000000000003</v>
      </c>
      <c r="N242" s="26"/>
      <c r="O242" s="26"/>
      <c r="P242" s="26"/>
      <c r="Q242" s="20"/>
      <c r="R242" s="24"/>
    </row>
    <row r="243" s="3" customFormat="1">
      <c r="A243" s="16" t="s">
        <v>281</v>
      </c>
      <c r="B243" s="26">
        <v>287.69999999999999</v>
      </c>
      <c r="C243" s="24">
        <f t="shared" si="4"/>
        <v>514.22220888355105</v>
      </c>
      <c r="D243" s="20">
        <v>6.9027611044417767e-003</v>
      </c>
      <c r="E243" s="20" t="s">
        <v>59</v>
      </c>
      <c r="F243" s="25" t="s">
        <v>263</v>
      </c>
      <c r="G243" s="21" t="s">
        <v>264</v>
      </c>
      <c r="H243" s="21" t="s">
        <v>265</v>
      </c>
      <c r="I243" s="16">
        <v>77</v>
      </c>
      <c r="J243" s="16">
        <v>303</v>
      </c>
      <c r="K243" s="16" t="s">
        <v>282</v>
      </c>
      <c r="L243" s="26">
        <v>0.23200000000000001</v>
      </c>
      <c r="M243" s="26">
        <v>-6.2510000000000003</v>
      </c>
      <c r="N243" s="26"/>
      <c r="O243" s="26">
        <v>32.409509319999998</v>
      </c>
      <c r="P243" s="23">
        <v>88.013894500000006</v>
      </c>
      <c r="Q243" s="27">
        <v>2.632449004835926e-002</v>
      </c>
      <c r="R243" s="28">
        <v>6.0772840757346354e-002</v>
      </c>
    </row>
    <row r="244" s="3" customFormat="1">
      <c r="A244" s="16" t="s">
        <v>283</v>
      </c>
      <c r="B244" s="26">
        <v>286.19999999999999</v>
      </c>
      <c r="C244" s="24">
        <f t="shared" si="4"/>
        <v>514.2325630252077</v>
      </c>
      <c r="D244" s="20">
        <v>6.9027611044417767e-003</v>
      </c>
      <c r="E244" s="20" t="s">
        <v>59</v>
      </c>
      <c r="F244" s="25" t="s">
        <v>263</v>
      </c>
      <c r="G244" s="21" t="s">
        <v>264</v>
      </c>
      <c r="H244" s="21" t="s">
        <v>265</v>
      </c>
      <c r="I244" s="16">
        <v>77</v>
      </c>
      <c r="J244" s="16">
        <v>303</v>
      </c>
      <c r="K244" s="16" t="s">
        <v>282</v>
      </c>
      <c r="L244" s="26">
        <v>0.21299999999999999</v>
      </c>
      <c r="M244" s="26">
        <v>-6.4619999999999997</v>
      </c>
      <c r="N244" s="26">
        <v>26.579999999999998</v>
      </c>
      <c r="O244" s="26">
        <v>34.592237240000003</v>
      </c>
      <c r="P244" s="23">
        <v>86.510969999999986</v>
      </c>
      <c r="Q244" s="27">
        <v>8.0729483282674777e-002</v>
      </c>
      <c r="R244" s="28">
        <v>0.13479144346218555</v>
      </c>
    </row>
    <row r="245" s="3" customFormat="1">
      <c r="A245" s="16" t="s">
        <v>284</v>
      </c>
      <c r="B245" s="26">
        <v>285.19999999999999</v>
      </c>
      <c r="C245" s="24">
        <f t="shared" si="4"/>
        <v>514.23946578631217</v>
      </c>
      <c r="D245" s="20">
        <v>6.9027611044417767e-003</v>
      </c>
      <c r="E245" s="20" t="s">
        <v>59</v>
      </c>
      <c r="F245" s="25" t="s">
        <v>263</v>
      </c>
      <c r="G245" s="21" t="s">
        <v>264</v>
      </c>
      <c r="H245" s="21" t="s">
        <v>265</v>
      </c>
      <c r="I245" s="16">
        <v>77</v>
      </c>
      <c r="J245" s="16">
        <v>303</v>
      </c>
      <c r="K245" s="16" t="s">
        <v>282</v>
      </c>
      <c r="L245" s="26">
        <v>0.254</v>
      </c>
      <c r="M245" s="26">
        <v>-6.6130000000000004</v>
      </c>
      <c r="N245" s="26"/>
      <c r="O245" s="26">
        <v>37.325680519999999</v>
      </c>
      <c r="P245" s="23">
        <v>87.244072500000001</v>
      </c>
      <c r="Q245" s="27">
        <v>2.3875074402778886e-002</v>
      </c>
      <c r="R245" s="28">
        <v>7.628663179138262e-002</v>
      </c>
    </row>
    <row r="246" s="3" customFormat="1">
      <c r="A246" s="16" t="s">
        <v>285</v>
      </c>
      <c r="B246" s="26">
        <v>284.19999999999999</v>
      </c>
      <c r="C246" s="24">
        <f t="shared" si="4"/>
        <v>514.24636854741664</v>
      </c>
      <c r="D246" s="20">
        <v>6.9027611044417767e-003</v>
      </c>
      <c r="E246" s="20" t="s">
        <v>59</v>
      </c>
      <c r="F246" s="25" t="s">
        <v>263</v>
      </c>
      <c r="G246" s="21" t="s">
        <v>264</v>
      </c>
      <c r="H246" s="21" t="s">
        <v>265</v>
      </c>
      <c r="I246" s="16">
        <v>77</v>
      </c>
      <c r="J246" s="16">
        <v>303</v>
      </c>
      <c r="K246" s="16" t="s">
        <v>282</v>
      </c>
      <c r="L246" s="26">
        <v>0.44</v>
      </c>
      <c r="M246" s="26">
        <v>-6.8499999999999996</v>
      </c>
      <c r="N246" s="26">
        <v>23.539999999999999</v>
      </c>
      <c r="O246" s="26">
        <v>71.764207580000004</v>
      </c>
      <c r="P246" s="23">
        <v>86.875964999999994</v>
      </c>
      <c r="Q246" s="27">
        <v>8.3232070737091032e-002</v>
      </c>
      <c r="R246" s="28">
        <v>0.1541358976128582</v>
      </c>
    </row>
    <row r="247" s="3" customFormat="1">
      <c r="A247" s="16" t="s">
        <v>286</v>
      </c>
      <c r="B247" s="26">
        <v>283.19999999999999</v>
      </c>
      <c r="C247" s="24">
        <f t="shared" si="4"/>
        <v>514.25327130852111</v>
      </c>
      <c r="D247" s="20">
        <v>6.9027611044417767e-003</v>
      </c>
      <c r="E247" s="20" t="s">
        <v>59</v>
      </c>
      <c r="F247" s="25" t="s">
        <v>263</v>
      </c>
      <c r="G247" s="21" t="s">
        <v>264</v>
      </c>
      <c r="H247" s="21" t="s">
        <v>265</v>
      </c>
      <c r="I247" s="16">
        <v>77</v>
      </c>
      <c r="J247" s="16">
        <v>303</v>
      </c>
      <c r="K247" s="16" t="s">
        <v>282</v>
      </c>
      <c r="L247" s="26">
        <v>0.54500000000000004</v>
      </c>
      <c r="M247" s="26">
        <v>-6.1459999999999999</v>
      </c>
      <c r="N247" s="26"/>
      <c r="O247" s="26"/>
      <c r="P247" s="26"/>
      <c r="Q247" s="20"/>
      <c r="R247" s="24"/>
    </row>
    <row r="248" s="3" customFormat="1">
      <c r="A248" s="16" t="s">
        <v>287</v>
      </c>
      <c r="B248" s="26">
        <v>282.19999999999999</v>
      </c>
      <c r="C248" s="24">
        <f t="shared" si="4"/>
        <v>514.26017406962558</v>
      </c>
      <c r="D248" s="20">
        <v>6.9027611044417767e-003</v>
      </c>
      <c r="E248" s="20" t="s">
        <v>59</v>
      </c>
      <c r="F248" s="25" t="s">
        <v>263</v>
      </c>
      <c r="G248" s="21" t="s">
        <v>264</v>
      </c>
      <c r="H248" s="21" t="s">
        <v>265</v>
      </c>
      <c r="I248" s="16">
        <v>77</v>
      </c>
      <c r="J248" s="16">
        <v>303</v>
      </c>
      <c r="K248" s="16" t="s">
        <v>282</v>
      </c>
      <c r="L248" s="26">
        <v>0.77600000000000002</v>
      </c>
      <c r="M248" s="26">
        <v>-7.0759999999999996</v>
      </c>
      <c r="N248" s="26">
        <v>21.809999999999999</v>
      </c>
      <c r="O248" s="26">
        <v>39.625475309999999</v>
      </c>
      <c r="P248" s="23">
        <v>91.85975000000002</v>
      </c>
      <c r="Q248" s="27">
        <v>0.46660997426344869</v>
      </c>
      <c r="R248" s="28">
        <v>0.46093238822246457</v>
      </c>
    </row>
    <row r="249" s="3" customFormat="1">
      <c r="A249" s="16" t="s">
        <v>288</v>
      </c>
      <c r="B249" s="26">
        <v>281.19999999999999</v>
      </c>
      <c r="C249" s="24">
        <f t="shared" si="4"/>
        <v>514.26707683073005</v>
      </c>
      <c r="D249" s="20">
        <v>6.9027611044417767e-003</v>
      </c>
      <c r="E249" s="20" t="s">
        <v>59</v>
      </c>
      <c r="F249" s="25" t="s">
        <v>263</v>
      </c>
      <c r="G249" s="21" t="s">
        <v>264</v>
      </c>
      <c r="H249" s="21" t="s">
        <v>265</v>
      </c>
      <c r="I249" s="16">
        <v>77</v>
      </c>
      <c r="J249" s="16">
        <v>303</v>
      </c>
      <c r="K249" s="16" t="s">
        <v>282</v>
      </c>
      <c r="L249" s="26">
        <v>0.93300000000000005</v>
      </c>
      <c r="M249" s="26">
        <v>-7.0789999999999997</v>
      </c>
      <c r="N249" s="26">
        <v>28.18</v>
      </c>
      <c r="O249" s="26">
        <v>56.654698840000002</v>
      </c>
      <c r="P249" s="23">
        <v>87.192385500000015</v>
      </c>
      <c r="Q249" s="27">
        <v>1.2033930919470189e-002</v>
      </c>
      <c r="R249" s="28">
        <v>5.2675799823091535e-002</v>
      </c>
    </row>
    <row r="250" s="3" customFormat="1">
      <c r="A250" s="16" t="s">
        <v>289</v>
      </c>
      <c r="B250" s="26">
        <v>279.69999999999999</v>
      </c>
      <c r="C250" s="24">
        <f t="shared" si="4"/>
        <v>514.2774309723867</v>
      </c>
      <c r="D250" s="20">
        <v>6.9027611044417767e-003</v>
      </c>
      <c r="E250" s="20" t="s">
        <v>59</v>
      </c>
      <c r="F250" s="25" t="s">
        <v>263</v>
      </c>
      <c r="G250" s="21" t="s">
        <v>264</v>
      </c>
      <c r="H250" s="21" t="s">
        <v>265</v>
      </c>
      <c r="I250" s="16">
        <v>77</v>
      </c>
      <c r="J250" s="16">
        <v>303</v>
      </c>
      <c r="K250" s="16" t="s">
        <v>282</v>
      </c>
      <c r="L250" s="26">
        <v>1.226</v>
      </c>
      <c r="M250" s="26">
        <v>-7.2370000000000001</v>
      </c>
      <c r="N250" s="26"/>
      <c r="O250" s="26">
        <v>45.71486324</v>
      </c>
      <c r="P250" s="23">
        <v>87.213730999999981</v>
      </c>
      <c r="Q250" s="27">
        <v>2.3541886273998891e-002</v>
      </c>
      <c r="R250" s="28">
        <v>8.523458578994704e-002</v>
      </c>
    </row>
    <row r="251" s="3" customFormat="1">
      <c r="A251" s="16" t="s">
        <v>290</v>
      </c>
      <c r="B251" s="26">
        <v>278.69999999999999</v>
      </c>
      <c r="C251" s="24">
        <f t="shared" si="4"/>
        <v>514.28433373349117</v>
      </c>
      <c r="D251" s="20">
        <v>6.9027611044417767e-003</v>
      </c>
      <c r="E251" s="20" t="s">
        <v>59</v>
      </c>
      <c r="F251" s="25" t="s">
        <v>263</v>
      </c>
      <c r="G251" s="21" t="s">
        <v>264</v>
      </c>
      <c r="H251" s="21" t="s">
        <v>265</v>
      </c>
      <c r="I251" s="16">
        <v>77</v>
      </c>
      <c r="J251" s="16">
        <v>303</v>
      </c>
      <c r="K251" s="16" t="s">
        <v>282</v>
      </c>
      <c r="L251" s="26">
        <v>1.351</v>
      </c>
      <c r="M251" s="26">
        <v>-7.1360000000000001</v>
      </c>
      <c r="N251" s="26"/>
      <c r="O251" s="26">
        <v>37.269675149999998</v>
      </c>
      <c r="P251" s="26"/>
      <c r="Q251" s="20"/>
      <c r="R251" s="24"/>
    </row>
    <row r="252" s="3" customFormat="1">
      <c r="A252" s="22" t="s">
        <v>291</v>
      </c>
      <c r="B252" s="23">
        <v>277.69999999999999</v>
      </c>
      <c r="C252" s="24">
        <f t="shared" si="4"/>
        <v>514.29123649459564</v>
      </c>
      <c r="D252" s="20">
        <v>6.9027611044417767e-003</v>
      </c>
      <c r="E252" s="20" t="s">
        <v>59</v>
      </c>
      <c r="F252" s="25" t="s">
        <v>263</v>
      </c>
      <c r="G252" s="21" t="s">
        <v>264</v>
      </c>
      <c r="H252" s="21" t="s">
        <v>265</v>
      </c>
      <c r="I252" s="16">
        <v>77</v>
      </c>
      <c r="J252" s="16">
        <v>303</v>
      </c>
      <c r="K252" s="16" t="s">
        <v>282</v>
      </c>
      <c r="L252" s="23">
        <v>1.5249999999999999</v>
      </c>
      <c r="M252" s="23">
        <v>-7.2030000000000003</v>
      </c>
      <c r="N252" s="26">
        <v>28.870000000000001</v>
      </c>
      <c r="O252" s="26">
        <v>60.599800833000003</v>
      </c>
      <c r="P252" s="23">
        <v>89.248995999999991</v>
      </c>
      <c r="Q252" s="27">
        <v>2.1343764965179812e-002</v>
      </c>
      <c r="R252" s="28">
        <v>7.116120193027084e-002</v>
      </c>
    </row>
    <row r="253" s="3" customFormat="1">
      <c r="A253" s="16" t="s">
        <v>292</v>
      </c>
      <c r="B253" s="26">
        <v>276.80000000000001</v>
      </c>
      <c r="C253" s="24">
        <f t="shared" si="4"/>
        <v>514.2974489795896</v>
      </c>
      <c r="D253" s="20">
        <v>6.9027611044417767e-003</v>
      </c>
      <c r="E253" s="20" t="s">
        <v>59</v>
      </c>
      <c r="F253" s="25" t="s">
        <v>263</v>
      </c>
      <c r="G253" s="21" t="s">
        <v>264</v>
      </c>
      <c r="H253" s="21" t="s">
        <v>265</v>
      </c>
      <c r="I253" s="16">
        <v>77</v>
      </c>
      <c r="J253" s="16">
        <v>303</v>
      </c>
      <c r="K253" s="16" t="s">
        <v>282</v>
      </c>
      <c r="L253" s="26">
        <v>1.355</v>
      </c>
      <c r="M253" s="26">
        <v>-6.6900000000000004</v>
      </c>
      <c r="N253" s="26"/>
      <c r="O253" s="26"/>
      <c r="P253" s="26"/>
      <c r="Q253" s="20"/>
      <c r="R253" s="24"/>
    </row>
    <row r="254" s="3" customFormat="1">
      <c r="A254" s="16" t="s">
        <v>293</v>
      </c>
      <c r="B254" s="26">
        <v>275.80000000000001</v>
      </c>
      <c r="C254" s="24">
        <f t="shared" si="4"/>
        <v>514.30435174069407</v>
      </c>
      <c r="D254" s="20">
        <v>6.9027611044417767e-003</v>
      </c>
      <c r="E254" s="20" t="s">
        <v>59</v>
      </c>
      <c r="F254" s="25" t="s">
        <v>263</v>
      </c>
      <c r="G254" s="21" t="s">
        <v>264</v>
      </c>
      <c r="H254" s="21" t="s">
        <v>265</v>
      </c>
      <c r="I254" s="16">
        <v>77</v>
      </c>
      <c r="J254" s="16">
        <v>303</v>
      </c>
      <c r="K254" s="16" t="s">
        <v>282</v>
      </c>
      <c r="L254" s="26">
        <v>1.7609999999999999</v>
      </c>
      <c r="M254" s="26">
        <v>-6.6230000000000002</v>
      </c>
      <c r="N254" s="26"/>
      <c r="O254" s="26"/>
      <c r="P254" s="26"/>
      <c r="Q254" s="20"/>
      <c r="R254" s="24"/>
    </row>
    <row r="255" s="3" customFormat="1">
      <c r="A255" s="16" t="s">
        <v>294</v>
      </c>
      <c r="B255" s="26">
        <v>274.80000000000001</v>
      </c>
      <c r="C255" s="24">
        <f t="shared" si="4"/>
        <v>514.31125450179854</v>
      </c>
      <c r="D255" s="20">
        <v>6.9027611044417767e-003</v>
      </c>
      <c r="E255" s="20" t="s">
        <v>59</v>
      </c>
      <c r="F255" s="25" t="s">
        <v>263</v>
      </c>
      <c r="G255" s="21" t="s">
        <v>264</v>
      </c>
      <c r="H255" s="21" t="s">
        <v>265</v>
      </c>
      <c r="I255" s="16">
        <v>77</v>
      </c>
      <c r="J255" s="16">
        <v>303</v>
      </c>
      <c r="K255" s="16" t="s">
        <v>282</v>
      </c>
      <c r="L255" s="26">
        <v>1.819</v>
      </c>
      <c r="M255" s="26">
        <v>-6.46</v>
      </c>
      <c r="N255" s="26"/>
      <c r="O255" s="26"/>
      <c r="P255" s="26"/>
      <c r="Q255" s="20"/>
      <c r="R255" s="24"/>
    </row>
    <row r="256" s="3" customFormat="1">
      <c r="A256" s="16" t="s">
        <v>295</v>
      </c>
      <c r="B256" s="26">
        <v>273.80000000000001</v>
      </c>
      <c r="C256" s="24">
        <f t="shared" si="4"/>
        <v>514.31815726290301</v>
      </c>
      <c r="D256" s="20">
        <v>6.9027611044417767e-003</v>
      </c>
      <c r="E256" s="20" t="s">
        <v>59</v>
      </c>
      <c r="F256" s="25" t="s">
        <v>263</v>
      </c>
      <c r="G256" s="21" t="s">
        <v>264</v>
      </c>
      <c r="H256" s="21" t="s">
        <v>265</v>
      </c>
      <c r="I256" s="16">
        <v>77</v>
      </c>
      <c r="J256" s="16">
        <v>303</v>
      </c>
      <c r="K256" s="16" t="s">
        <v>282</v>
      </c>
      <c r="L256" s="26">
        <v>2.0990000000000002</v>
      </c>
      <c r="M256" s="26">
        <v>-6.6130000000000004</v>
      </c>
      <c r="N256" s="26"/>
      <c r="O256" s="26">
        <v>1789.284269</v>
      </c>
      <c r="P256" s="23">
        <v>87.112627000000003</v>
      </c>
      <c r="Q256" s="27">
        <v>7.7110425870756446e-003</v>
      </c>
      <c r="R256" s="28">
        <v>5.1328122259322692e-002</v>
      </c>
    </row>
    <row r="257" s="3" customFormat="1">
      <c r="A257" s="16" t="s">
        <v>296</v>
      </c>
      <c r="B257" s="26">
        <v>272.80000000000001</v>
      </c>
      <c r="C257" s="24">
        <f t="shared" si="4"/>
        <v>514.32506002400748</v>
      </c>
      <c r="D257" s="20">
        <v>6.9027611044417767e-003</v>
      </c>
      <c r="E257" s="20" t="s">
        <v>59</v>
      </c>
      <c r="F257" s="25" t="s">
        <v>263</v>
      </c>
      <c r="G257" s="21" t="s">
        <v>264</v>
      </c>
      <c r="H257" s="21" t="s">
        <v>265</v>
      </c>
      <c r="I257" s="16">
        <v>77</v>
      </c>
      <c r="J257" s="16">
        <v>303</v>
      </c>
      <c r="K257" s="16" t="s">
        <v>282</v>
      </c>
      <c r="L257" s="26">
        <v>1.9750000000000001</v>
      </c>
      <c r="M257" s="26">
        <v>-5.9240000000000004</v>
      </c>
      <c r="N257" s="26">
        <v>31.489999999999998</v>
      </c>
      <c r="O257" s="26">
        <v>999.9179623</v>
      </c>
      <c r="P257" s="23">
        <v>87.244256000000007</v>
      </c>
      <c r="Q257" s="27">
        <v>1.7834326061161431e-002</v>
      </c>
      <c r="R257" s="28">
        <v>6.354123317149514e-002</v>
      </c>
    </row>
    <row r="258" s="3" customFormat="1">
      <c r="A258" s="16" t="s">
        <v>297</v>
      </c>
      <c r="B258" s="26">
        <v>269.80000000000001</v>
      </c>
      <c r="C258" s="24">
        <f t="shared" si="4"/>
        <v>514.34576830732078</v>
      </c>
      <c r="D258" s="20">
        <v>6.9027611044417767e-003</v>
      </c>
      <c r="E258" s="20" t="s">
        <v>59</v>
      </c>
      <c r="F258" s="25" t="s">
        <v>263</v>
      </c>
      <c r="G258" s="21" t="s">
        <v>264</v>
      </c>
      <c r="H258" s="21" t="s">
        <v>265</v>
      </c>
      <c r="I258" s="16">
        <v>77</v>
      </c>
      <c r="J258" s="16">
        <v>303</v>
      </c>
      <c r="K258" s="16" t="s">
        <v>29</v>
      </c>
      <c r="L258" s="26">
        <v>2.1659999999999999</v>
      </c>
      <c r="M258" s="26">
        <v>-5.3410000000000002</v>
      </c>
      <c r="N258" s="26">
        <v>32.890000000000001</v>
      </c>
      <c r="O258" s="26">
        <v>1640.592232</v>
      </c>
      <c r="P258" s="23">
        <v>86.904610500000004</v>
      </c>
      <c r="Q258" s="27">
        <v>6.417655715293318e-003</v>
      </c>
      <c r="R258" s="28">
        <v>0.31899388148798236</v>
      </c>
    </row>
    <row r="259" s="3" customFormat="1">
      <c r="A259" s="16" t="s">
        <v>298</v>
      </c>
      <c r="B259" s="26">
        <v>268.80000000000001</v>
      </c>
      <c r="C259" s="24">
        <f t="shared" si="4"/>
        <v>514.35267106842525</v>
      </c>
      <c r="D259" s="20">
        <v>6.9027611044417767e-003</v>
      </c>
      <c r="E259" s="20" t="s">
        <v>59</v>
      </c>
      <c r="F259" s="25" t="s">
        <v>263</v>
      </c>
      <c r="G259" s="21" t="s">
        <v>264</v>
      </c>
      <c r="H259" s="21" t="s">
        <v>265</v>
      </c>
      <c r="I259" s="16">
        <v>77</v>
      </c>
      <c r="J259" s="16">
        <v>303</v>
      </c>
      <c r="K259" s="16" t="s">
        <v>29</v>
      </c>
      <c r="L259" s="26">
        <v>2.4119999999999999</v>
      </c>
      <c r="M259" s="26">
        <v>-5.3890000000000002</v>
      </c>
      <c r="N259" s="26">
        <v>30.57</v>
      </c>
      <c r="O259" s="26">
        <v>1060.312895</v>
      </c>
      <c r="P259" s="23">
        <v>88.982399999999984</v>
      </c>
      <c r="Q259" s="27">
        <v>4.5608204036859584e-002</v>
      </c>
      <c r="R259" s="28">
        <v>0.34819524977396632</v>
      </c>
    </row>
    <row r="260" s="3" customFormat="1">
      <c r="A260" s="16" t="s">
        <v>299</v>
      </c>
      <c r="B260" s="26">
        <v>268.10000000000002</v>
      </c>
      <c r="C260" s="24">
        <f t="shared" si="4"/>
        <v>514.35750300119832</v>
      </c>
      <c r="D260" s="20">
        <v>6.9027611044417767e-003</v>
      </c>
      <c r="E260" s="20" t="s">
        <v>59</v>
      </c>
      <c r="F260" s="25" t="s">
        <v>263</v>
      </c>
      <c r="G260" s="21" t="s">
        <v>264</v>
      </c>
      <c r="H260" s="21" t="s">
        <v>265</v>
      </c>
      <c r="I260" s="16">
        <v>77</v>
      </c>
      <c r="J260" s="16">
        <v>303</v>
      </c>
      <c r="K260" s="16" t="s">
        <v>29</v>
      </c>
      <c r="L260" s="26">
        <v>2.762</v>
      </c>
      <c r="M260" s="26">
        <v>-5.5570000000000004</v>
      </c>
      <c r="N260" s="26"/>
      <c r="O260" s="26"/>
      <c r="P260" s="26"/>
      <c r="Q260" s="20"/>
      <c r="R260" s="24"/>
    </row>
    <row r="261" s="3" customFormat="1">
      <c r="A261" s="16" t="s">
        <v>300</v>
      </c>
      <c r="B261" s="26">
        <v>267.60000000000002</v>
      </c>
      <c r="C261" s="24">
        <f t="shared" si="4"/>
        <v>514.3609543817505</v>
      </c>
      <c r="D261" s="20">
        <v>6.9027611044417767e-003</v>
      </c>
      <c r="E261" s="20" t="s">
        <v>59</v>
      </c>
      <c r="F261" s="25" t="s">
        <v>263</v>
      </c>
      <c r="G261" s="21" t="s">
        <v>264</v>
      </c>
      <c r="H261" s="21" t="s">
        <v>265</v>
      </c>
      <c r="I261" s="16">
        <v>77</v>
      </c>
      <c r="J261" s="16">
        <v>303</v>
      </c>
      <c r="K261" s="16" t="s">
        <v>29</v>
      </c>
      <c r="L261" s="26">
        <v>2.8149999999999999</v>
      </c>
      <c r="M261" s="26">
        <v>-7.3120000000000003</v>
      </c>
      <c r="N261" s="26"/>
      <c r="O261" s="26"/>
      <c r="P261" s="26"/>
      <c r="Q261" s="20"/>
      <c r="R261" s="24"/>
    </row>
    <row r="262" s="3" customFormat="1">
      <c r="A262" s="16" t="s">
        <v>301</v>
      </c>
      <c r="B262" s="26">
        <v>267.10000000000002</v>
      </c>
      <c r="C262" s="24">
        <f t="shared" ref="C262:C325" si="5">C261+(B261-B262)*D262</f>
        <v>514.36440576230268</v>
      </c>
      <c r="D262" s="20">
        <v>6.9027611044417767e-003</v>
      </c>
      <c r="E262" s="20" t="s">
        <v>59</v>
      </c>
      <c r="F262" s="25" t="s">
        <v>263</v>
      </c>
      <c r="G262" s="21" t="s">
        <v>264</v>
      </c>
      <c r="H262" s="21" t="s">
        <v>265</v>
      </c>
      <c r="I262" s="16">
        <v>77</v>
      </c>
      <c r="J262" s="16">
        <v>303</v>
      </c>
      <c r="K262" s="16" t="s">
        <v>29</v>
      </c>
      <c r="L262" s="26">
        <v>3.105</v>
      </c>
      <c r="M262" s="26">
        <v>-7.367</v>
      </c>
      <c r="N262" s="26"/>
      <c r="O262" s="26"/>
      <c r="P262" s="26"/>
      <c r="Q262" s="20"/>
      <c r="R262" s="24"/>
    </row>
    <row r="263" s="3" customFormat="1">
      <c r="A263" s="16" t="s">
        <v>302</v>
      </c>
      <c r="B263" s="26">
        <v>266.60000000000002</v>
      </c>
      <c r="C263" s="24">
        <f t="shared" si="5"/>
        <v>514.36785714285486</v>
      </c>
      <c r="D263" s="20">
        <v>6.9027611044417767e-003</v>
      </c>
      <c r="E263" s="20" t="s">
        <v>59</v>
      </c>
      <c r="F263" s="25" t="s">
        <v>263</v>
      </c>
      <c r="G263" s="21" t="s">
        <v>264</v>
      </c>
      <c r="H263" s="21" t="s">
        <v>265</v>
      </c>
      <c r="I263" s="16">
        <v>77</v>
      </c>
      <c r="J263" s="16">
        <v>303</v>
      </c>
      <c r="K263" s="16" t="s">
        <v>29</v>
      </c>
      <c r="L263" s="26">
        <v>3.1949999999999998</v>
      </c>
      <c r="M263" s="26">
        <v>-6.4649999999999999</v>
      </c>
      <c r="N263" s="26"/>
      <c r="O263" s="26"/>
      <c r="P263" s="26"/>
      <c r="Q263" s="20"/>
      <c r="R263" s="24"/>
    </row>
    <row r="264" s="3" customFormat="1">
      <c r="A264" s="16" t="s">
        <v>303</v>
      </c>
      <c r="B264" s="26">
        <v>266.19999999999999</v>
      </c>
      <c r="C264" s="24">
        <f t="shared" si="5"/>
        <v>514.37061824729665</v>
      </c>
      <c r="D264" s="20">
        <v>6.9027611044417767e-003</v>
      </c>
      <c r="E264" s="20" t="s">
        <v>59</v>
      </c>
      <c r="F264" s="25" t="s">
        <v>263</v>
      </c>
      <c r="G264" s="21" t="s">
        <v>264</v>
      </c>
      <c r="H264" s="21" t="s">
        <v>265</v>
      </c>
      <c r="I264" s="16">
        <v>77</v>
      </c>
      <c r="J264" s="16">
        <v>303</v>
      </c>
      <c r="K264" s="16" t="s">
        <v>29</v>
      </c>
      <c r="L264" s="26">
        <v>3.694</v>
      </c>
      <c r="M264" s="26">
        <v>-6.5250000000000004</v>
      </c>
      <c r="N264" s="26">
        <v>33.289999999999999</v>
      </c>
      <c r="O264" s="26">
        <v>4884.8449529999998</v>
      </c>
      <c r="P264" s="23">
        <v>87.329056999999992</v>
      </c>
      <c r="Q264" s="27">
        <v>1.9673366612443486e-002</v>
      </c>
      <c r="R264" s="28">
        <v>0.21389258562403438</v>
      </c>
    </row>
    <row r="265" s="3" customFormat="1">
      <c r="A265" s="16" t="s">
        <v>304</v>
      </c>
      <c r="B265" s="26">
        <v>265.69999999999999</v>
      </c>
      <c r="C265" s="24">
        <f t="shared" si="5"/>
        <v>514.37406962784883</v>
      </c>
      <c r="D265" s="20">
        <v>6.9027611044417767e-003</v>
      </c>
      <c r="E265" s="20" t="s">
        <v>59</v>
      </c>
      <c r="F265" s="25" t="s">
        <v>263</v>
      </c>
      <c r="G265" s="21" t="s">
        <v>264</v>
      </c>
      <c r="H265" s="21" t="s">
        <v>265</v>
      </c>
      <c r="I265" s="16">
        <v>77</v>
      </c>
      <c r="J265" s="16">
        <v>303</v>
      </c>
      <c r="K265" s="16" t="s">
        <v>29</v>
      </c>
      <c r="L265" s="26">
        <v>2.9369999999999998</v>
      </c>
      <c r="M265" s="26">
        <v>-6.319</v>
      </c>
      <c r="N265" s="26">
        <v>32.270000000000003</v>
      </c>
      <c r="O265" s="26">
        <v>2808.1742279999999</v>
      </c>
      <c r="P265" s="23">
        <v>87.986514999999997</v>
      </c>
      <c r="Q265" s="27">
        <v>0.1298404021342395</v>
      </c>
      <c r="R265" s="28">
        <v>0.82124476670776991</v>
      </c>
    </row>
    <row r="266" s="3" customFormat="1">
      <c r="A266" s="16" t="s">
        <v>305</v>
      </c>
      <c r="B266" s="26">
        <v>264.69999999999999</v>
      </c>
      <c r="C266" s="24">
        <f t="shared" si="5"/>
        <v>514.3809723889533</v>
      </c>
      <c r="D266" s="20">
        <v>6.9027611044417767e-003</v>
      </c>
      <c r="E266" s="20" t="s">
        <v>59</v>
      </c>
      <c r="F266" s="25" t="s">
        <v>263</v>
      </c>
      <c r="G266" s="21" t="s">
        <v>264</v>
      </c>
      <c r="H266" s="21" t="s">
        <v>265</v>
      </c>
      <c r="I266" s="16">
        <v>77</v>
      </c>
      <c r="J266" s="16">
        <v>303</v>
      </c>
      <c r="K266" s="16" t="s">
        <v>29</v>
      </c>
      <c r="L266" s="26">
        <v>2.6789999999999998</v>
      </c>
      <c r="M266" s="26">
        <v>-5.0720000000000001</v>
      </c>
      <c r="N266" s="26">
        <v>32.189999999999998</v>
      </c>
      <c r="O266" s="26">
        <v>12163.302460000001</v>
      </c>
      <c r="P266" s="23">
        <v>73.220060000000004</v>
      </c>
      <c r="Q266" s="27">
        <v>0.28534717145219013</v>
      </c>
      <c r="R266" s="28">
        <v>0.63528222737191098</v>
      </c>
    </row>
    <row r="267" s="3" customFormat="1">
      <c r="A267" s="16" t="s">
        <v>306</v>
      </c>
      <c r="B267" s="26">
        <v>259.80000000000001</v>
      </c>
      <c r="C267" s="24">
        <f t="shared" si="5"/>
        <v>514.41479591836503</v>
      </c>
      <c r="D267" s="20">
        <v>6.9027611044417767e-003</v>
      </c>
      <c r="E267" s="20" t="s">
        <v>59</v>
      </c>
      <c r="F267" s="25" t="s">
        <v>263</v>
      </c>
      <c r="G267" s="21" t="s">
        <v>264</v>
      </c>
      <c r="H267" s="21" t="s">
        <v>265</v>
      </c>
      <c r="I267" s="16">
        <v>77</v>
      </c>
      <c r="J267" s="16">
        <v>303</v>
      </c>
      <c r="K267" s="16" t="s">
        <v>29</v>
      </c>
      <c r="L267" s="26">
        <v>2.6360000000000001</v>
      </c>
      <c r="M267" s="26">
        <v>-4.3970000000000002</v>
      </c>
      <c r="N267" s="26">
        <v>31.469999999999999</v>
      </c>
      <c r="O267" s="26">
        <v>4525.0423289999999</v>
      </c>
      <c r="P267" s="23">
        <v>82.661014999999992</v>
      </c>
      <c r="Q267" s="27">
        <v>3.799359760467598e-002</v>
      </c>
      <c r="R267" s="28">
        <v>0.73181564632412466</v>
      </c>
    </row>
    <row r="268" s="3" customFormat="1">
      <c r="A268" s="16" t="s">
        <v>307</v>
      </c>
      <c r="B268" s="26">
        <v>258.80000000000001</v>
      </c>
      <c r="C268" s="24">
        <f t="shared" si="5"/>
        <v>514.4216986794695</v>
      </c>
      <c r="D268" s="20">
        <v>6.9027611044417767e-003</v>
      </c>
      <c r="E268" s="20" t="s">
        <v>59</v>
      </c>
      <c r="F268" s="25" t="s">
        <v>263</v>
      </c>
      <c r="G268" s="21" t="s">
        <v>264</v>
      </c>
      <c r="H268" s="21" t="s">
        <v>265</v>
      </c>
      <c r="I268" s="16">
        <v>77</v>
      </c>
      <c r="J268" s="16">
        <v>303</v>
      </c>
      <c r="K268" s="16" t="s">
        <v>29</v>
      </c>
      <c r="L268" s="26">
        <v>2.7050000000000001</v>
      </c>
      <c r="M268" s="26">
        <v>-4.3179999999999996</v>
      </c>
      <c r="N268" s="26">
        <v>30.739999999999998</v>
      </c>
      <c r="O268" s="26">
        <v>4955.6028749999996</v>
      </c>
      <c r="P268" s="23">
        <v>79.820715000000007</v>
      </c>
      <c r="Q268" s="27">
        <v>6.3298351131295769e-002</v>
      </c>
      <c r="R268" s="28">
        <v>0.91409654857303513</v>
      </c>
    </row>
    <row r="269" s="3" customFormat="1">
      <c r="A269" s="16" t="s">
        <v>308</v>
      </c>
      <c r="B269" s="26">
        <v>258.30000000000001</v>
      </c>
      <c r="C269" s="24">
        <f t="shared" si="5"/>
        <v>514.42515006002168</v>
      </c>
      <c r="D269" s="20">
        <v>6.9027611044417767e-003</v>
      </c>
      <c r="E269" s="20" t="s">
        <v>59</v>
      </c>
      <c r="F269" s="25" t="s">
        <v>263</v>
      </c>
      <c r="G269" s="21" t="s">
        <v>264</v>
      </c>
      <c r="H269" s="21" t="s">
        <v>265</v>
      </c>
      <c r="I269" s="16">
        <v>77</v>
      </c>
      <c r="J269" s="16">
        <v>303</v>
      </c>
      <c r="K269" s="16" t="s">
        <v>29</v>
      </c>
      <c r="L269" s="26">
        <v>2.173</v>
      </c>
      <c r="M269" s="26">
        <v>-4.3550000000000004</v>
      </c>
      <c r="N269" s="26"/>
      <c r="O269" s="26"/>
      <c r="P269" s="26"/>
      <c r="Q269" s="20"/>
      <c r="R269" s="24"/>
    </row>
    <row r="270" s="3" customFormat="1">
      <c r="A270" s="22" t="s">
        <v>309</v>
      </c>
      <c r="B270" s="23">
        <v>257.80000000000001</v>
      </c>
      <c r="C270" s="24">
        <f t="shared" si="5"/>
        <v>514.42860144057386</v>
      </c>
      <c r="D270" s="20">
        <v>6.9027611044417767e-003</v>
      </c>
      <c r="E270" s="20" t="s">
        <v>59</v>
      </c>
      <c r="F270" s="25" t="s">
        <v>263</v>
      </c>
      <c r="G270" s="21" t="s">
        <v>264</v>
      </c>
      <c r="H270" s="21" t="s">
        <v>265</v>
      </c>
      <c r="I270" s="16">
        <v>77</v>
      </c>
      <c r="J270" s="16">
        <v>303</v>
      </c>
      <c r="K270" s="16" t="s">
        <v>29</v>
      </c>
      <c r="L270" s="23">
        <v>2.1030000000000002</v>
      </c>
      <c r="M270" s="23">
        <v>-4.2190000000000003</v>
      </c>
      <c r="N270" s="26"/>
      <c r="O270" s="26"/>
      <c r="P270" s="23">
        <v>77.127525000000006</v>
      </c>
      <c r="Q270" s="27">
        <v>0.1695155552525297</v>
      </c>
      <c r="R270" s="28">
        <v>1.095314614772422</v>
      </c>
    </row>
    <row r="271" s="3" customFormat="1">
      <c r="A271" s="22" t="s">
        <v>310</v>
      </c>
      <c r="B271" s="23">
        <v>256.69999999999999</v>
      </c>
      <c r="C271" s="24">
        <f t="shared" si="5"/>
        <v>514.43619447778872</v>
      </c>
      <c r="D271" s="20">
        <v>6.9027611044417767e-003</v>
      </c>
      <c r="E271" s="20" t="s">
        <v>59</v>
      </c>
      <c r="F271" s="25" t="s">
        <v>263</v>
      </c>
      <c r="G271" s="21" t="s">
        <v>264</v>
      </c>
      <c r="H271" s="21" t="s">
        <v>265</v>
      </c>
      <c r="I271" s="16">
        <v>77</v>
      </c>
      <c r="J271" s="16">
        <v>303</v>
      </c>
      <c r="K271" s="16" t="s">
        <v>29</v>
      </c>
      <c r="L271" s="26">
        <v>1.2509999999999999</v>
      </c>
      <c r="M271" s="26">
        <v>-4.9029999999999996</v>
      </c>
      <c r="N271" s="26">
        <v>29.77</v>
      </c>
      <c r="O271" s="26">
        <v>133.6697532</v>
      </c>
      <c r="P271" s="23">
        <v>78.882970000000014</v>
      </c>
      <c r="Q271" s="27">
        <v>0.13020387210875176</v>
      </c>
      <c r="R271" s="28">
        <v>0.8804339142682952</v>
      </c>
    </row>
    <row r="272" s="3" customFormat="1">
      <c r="A272" s="22" t="s">
        <v>311</v>
      </c>
      <c r="B272" s="23">
        <v>255.69999999999999</v>
      </c>
      <c r="C272" s="24">
        <f t="shared" si="5"/>
        <v>514.44309723889319</v>
      </c>
      <c r="D272" s="20">
        <v>6.9027611044417767e-003</v>
      </c>
      <c r="E272" s="20" t="s">
        <v>59</v>
      </c>
      <c r="F272" s="25" t="s">
        <v>263</v>
      </c>
      <c r="G272" s="21" t="s">
        <v>264</v>
      </c>
      <c r="H272" s="21" t="s">
        <v>265</v>
      </c>
      <c r="I272" s="16">
        <v>77</v>
      </c>
      <c r="J272" s="16">
        <v>303</v>
      </c>
      <c r="K272" s="16" t="s">
        <v>29</v>
      </c>
      <c r="L272" s="26">
        <v>1.0349999999999999</v>
      </c>
      <c r="M272" s="26">
        <v>-4.5179999999999998</v>
      </c>
      <c r="N272" s="26"/>
      <c r="O272" s="26"/>
      <c r="P272" s="26"/>
      <c r="Q272" s="20"/>
      <c r="R272" s="24"/>
    </row>
    <row r="273" s="3" customFormat="1">
      <c r="A273" s="22" t="s">
        <v>312</v>
      </c>
      <c r="B273" s="23">
        <v>254.69999999999999</v>
      </c>
      <c r="C273" s="19">
        <f t="shared" si="5"/>
        <v>514.44999999999766</v>
      </c>
      <c r="D273" s="20">
        <v>6.9027611044417767e-003</v>
      </c>
      <c r="E273" s="20" t="s">
        <v>59</v>
      </c>
      <c r="F273" s="25" t="s">
        <v>263</v>
      </c>
      <c r="G273" s="21" t="s">
        <v>264</v>
      </c>
      <c r="H273" s="21" t="s">
        <v>265</v>
      </c>
      <c r="I273" s="16">
        <v>77</v>
      </c>
      <c r="J273" s="16">
        <v>303</v>
      </c>
      <c r="K273" s="16" t="s">
        <v>29</v>
      </c>
      <c r="L273" s="26">
        <v>0.69299999999999995</v>
      </c>
      <c r="M273" s="26">
        <v>-5.1360000000000001</v>
      </c>
      <c r="N273" s="26">
        <v>30.23</v>
      </c>
      <c r="O273" s="26">
        <v>66.898892489999994</v>
      </c>
      <c r="P273" s="23">
        <v>78.080830000000006</v>
      </c>
      <c r="Q273" s="27">
        <v>5.2848796624565431e-002</v>
      </c>
      <c r="R273" s="28">
        <v>0.63128924748866422</v>
      </c>
    </row>
    <row r="274" s="3" customFormat="1">
      <c r="A274" s="22" t="s">
        <v>313</v>
      </c>
      <c r="B274" s="23">
        <v>253.69999999999999</v>
      </c>
      <c r="C274" s="24">
        <f t="shared" si="5"/>
        <v>514.48581191907908</v>
      </c>
      <c r="D274" s="20">
        <f>(C420-C273)/(B273-B420)</f>
        <v>3.5811919081478093e-002</v>
      </c>
      <c r="E274" s="20" t="s">
        <v>314</v>
      </c>
      <c r="F274" s="25" t="s">
        <v>263</v>
      </c>
      <c r="G274" s="21" t="s">
        <v>315</v>
      </c>
      <c r="H274" s="21" t="s">
        <v>316</v>
      </c>
      <c r="I274" s="16">
        <v>50</v>
      </c>
      <c r="J274" s="16">
        <v>178</v>
      </c>
      <c r="K274" s="16" t="s">
        <v>29</v>
      </c>
      <c r="L274" s="26">
        <v>0.68300000000000005</v>
      </c>
      <c r="M274" s="26">
        <v>-4.6539999999999999</v>
      </c>
      <c r="N274" s="26">
        <v>28.420000000000002</v>
      </c>
      <c r="O274" s="26">
        <v>161.3803863</v>
      </c>
      <c r="P274" s="23">
        <v>76.183720000000008</v>
      </c>
      <c r="Q274" s="27">
        <v>0.17421219344936811</v>
      </c>
      <c r="R274" s="28">
        <v>0.83599222794839301</v>
      </c>
    </row>
    <row r="275" s="3" customFormat="1">
      <c r="A275" s="22" t="s">
        <v>317</v>
      </c>
      <c r="B275" s="23">
        <v>252.69999999999999</v>
      </c>
      <c r="C275" s="24">
        <f t="shared" si="5"/>
        <v>514.52162383816051</v>
      </c>
      <c r="D275" s="20">
        <v>3.5811919081478093e-002</v>
      </c>
      <c r="E275" s="20" t="s">
        <v>314</v>
      </c>
      <c r="F275" s="25" t="s">
        <v>263</v>
      </c>
      <c r="G275" s="21" t="s">
        <v>315</v>
      </c>
      <c r="H275" s="21" t="s">
        <v>316</v>
      </c>
      <c r="I275" s="16">
        <v>50</v>
      </c>
      <c r="J275" s="16">
        <v>178</v>
      </c>
      <c r="K275" s="16" t="s">
        <v>29</v>
      </c>
      <c r="L275" s="26">
        <v>0.10299999999999999</v>
      </c>
      <c r="M275" s="26">
        <v>-5.0540000000000003</v>
      </c>
      <c r="N275" s="26"/>
      <c r="O275" s="26"/>
      <c r="P275" s="26"/>
      <c r="Q275" s="20"/>
      <c r="R275" s="24"/>
    </row>
    <row r="276" s="3" customFormat="1">
      <c r="A276" s="22" t="s">
        <v>318</v>
      </c>
      <c r="B276" s="23">
        <v>251.69999999999999</v>
      </c>
      <c r="C276" s="24">
        <f t="shared" si="5"/>
        <v>514.55743575724193</v>
      </c>
      <c r="D276" s="20">
        <v>3.5811919081478093e-002</v>
      </c>
      <c r="E276" s="20" t="s">
        <v>314</v>
      </c>
      <c r="F276" s="25" t="s">
        <v>263</v>
      </c>
      <c r="G276" s="21" t="s">
        <v>315</v>
      </c>
      <c r="H276" s="21" t="s">
        <v>316</v>
      </c>
      <c r="I276" s="16">
        <v>50</v>
      </c>
      <c r="J276" s="16">
        <v>178</v>
      </c>
      <c r="K276" s="16" t="s">
        <v>29</v>
      </c>
      <c r="L276" s="23">
        <v>0.27600000000000002</v>
      </c>
      <c r="M276" s="23">
        <v>-5.0540000000000003</v>
      </c>
      <c r="N276" s="26"/>
      <c r="O276" s="26"/>
      <c r="P276" s="23">
        <v>72.988894999999999</v>
      </c>
      <c r="Q276" s="27">
        <v>9.4383821932681869e-002</v>
      </c>
      <c r="R276" s="28">
        <v>0.99807122232916279</v>
      </c>
    </row>
    <row r="277" s="3" customFormat="1">
      <c r="A277" s="22" t="s">
        <v>319</v>
      </c>
      <c r="B277" s="23">
        <v>250.59999999999999</v>
      </c>
      <c r="C277" s="24">
        <f t="shared" si="5"/>
        <v>514.59682886823157</v>
      </c>
      <c r="D277" s="20">
        <v>3.58119190814781e-002</v>
      </c>
      <c r="E277" s="20" t="s">
        <v>314</v>
      </c>
      <c r="F277" s="25" t="s">
        <v>263</v>
      </c>
      <c r="G277" s="21" t="s">
        <v>315</v>
      </c>
      <c r="H277" s="21" t="s">
        <v>316</v>
      </c>
      <c r="I277" s="16">
        <v>50</v>
      </c>
      <c r="J277" s="16">
        <v>178</v>
      </c>
      <c r="K277" s="16" t="s">
        <v>29</v>
      </c>
      <c r="L277" s="23">
        <v>-0.95399999999999996</v>
      </c>
      <c r="M277" s="23">
        <v>-5.2729999999999997</v>
      </c>
      <c r="N277" s="26"/>
      <c r="O277" s="26"/>
      <c r="P277" s="26"/>
      <c r="Q277" s="20"/>
      <c r="R277" s="24"/>
    </row>
    <row r="278" s="3" customFormat="1">
      <c r="A278" s="22" t="s">
        <v>320</v>
      </c>
      <c r="B278" s="23">
        <v>249.59999999999999</v>
      </c>
      <c r="C278" s="24">
        <f t="shared" si="5"/>
        <v>514.63264078731299</v>
      </c>
      <c r="D278" s="20">
        <v>3.58119190814781e-002</v>
      </c>
      <c r="E278" s="20" t="s">
        <v>314</v>
      </c>
      <c r="F278" s="25" t="s">
        <v>263</v>
      </c>
      <c r="G278" s="21" t="s">
        <v>315</v>
      </c>
      <c r="H278" s="21" t="s">
        <v>316</v>
      </c>
      <c r="I278" s="16">
        <v>50</v>
      </c>
      <c r="J278" s="16">
        <v>178</v>
      </c>
      <c r="K278" s="16" t="s">
        <v>29</v>
      </c>
      <c r="L278" s="26">
        <v>-0.65000000000000002</v>
      </c>
      <c r="M278" s="26">
        <v>-5.7350000000000003</v>
      </c>
      <c r="N278" s="26">
        <v>26.390000000000001</v>
      </c>
      <c r="O278" s="26">
        <v>91.51224929</v>
      </c>
      <c r="P278" s="23">
        <v>81.647599999999997</v>
      </c>
      <c r="Q278" s="27">
        <v>0.14248776976303457</v>
      </c>
      <c r="R278" s="28">
        <v>0.2740216869331023</v>
      </c>
    </row>
    <row r="279" s="3" customFormat="1">
      <c r="A279" s="22" t="s">
        <v>321</v>
      </c>
      <c r="B279" s="23">
        <v>248.79999999999998</v>
      </c>
      <c r="C279" s="24">
        <f t="shared" si="5"/>
        <v>514.66129032257822</v>
      </c>
      <c r="D279" s="20">
        <v>3.58119190814781e-002</v>
      </c>
      <c r="E279" s="20" t="s">
        <v>314</v>
      </c>
      <c r="F279" s="25" t="s">
        <v>263</v>
      </c>
      <c r="G279" s="21" t="s">
        <v>315</v>
      </c>
      <c r="H279" s="21" t="s">
        <v>316</v>
      </c>
      <c r="I279" s="16">
        <v>50</v>
      </c>
      <c r="J279" s="16">
        <v>178</v>
      </c>
      <c r="K279" s="16" t="s">
        <v>29</v>
      </c>
      <c r="L279" s="26">
        <v>-1.109</v>
      </c>
      <c r="M279" s="26">
        <v>-5.2320000000000002</v>
      </c>
      <c r="N279" s="26"/>
      <c r="O279" s="26"/>
      <c r="P279" s="26"/>
      <c r="Q279" s="20"/>
      <c r="R279" s="24"/>
    </row>
    <row r="280" s="3" customFormat="1">
      <c r="A280" s="22" t="s">
        <v>322</v>
      </c>
      <c r="B280" s="23">
        <v>247.59999999999999</v>
      </c>
      <c r="C280" s="24">
        <f t="shared" si="5"/>
        <v>514.70426462547596</v>
      </c>
      <c r="D280" s="20">
        <v>3.58119190814781e-002</v>
      </c>
      <c r="E280" s="20" t="s">
        <v>314</v>
      </c>
      <c r="F280" s="25" t="s">
        <v>263</v>
      </c>
      <c r="G280" s="21" t="s">
        <v>315</v>
      </c>
      <c r="H280" s="21" t="s">
        <v>316</v>
      </c>
      <c r="I280" s="16">
        <v>50</v>
      </c>
      <c r="J280" s="16">
        <v>178</v>
      </c>
      <c r="K280" s="16" t="s">
        <v>29</v>
      </c>
      <c r="L280" s="26">
        <v>-1.028</v>
      </c>
      <c r="M280" s="26">
        <v>-5.5119999999999996</v>
      </c>
      <c r="N280" s="26">
        <v>26.440000000000001</v>
      </c>
      <c r="O280" s="26">
        <v>56.155455310000001</v>
      </c>
      <c r="P280" s="23">
        <v>80.340614999999985</v>
      </c>
      <c r="Q280" s="27">
        <v>4.6937624980517137e-002</v>
      </c>
      <c r="R280" s="28">
        <v>0.36361304034308706</v>
      </c>
    </row>
    <row r="281" s="3" customFormat="1">
      <c r="A281" s="22" t="s">
        <v>323</v>
      </c>
      <c r="B281" s="23">
        <v>247.09999999999999</v>
      </c>
      <c r="C281" s="24">
        <f t="shared" si="5"/>
        <v>514.72217058501667</v>
      </c>
      <c r="D281" s="20">
        <v>3.58119190814781e-002</v>
      </c>
      <c r="E281" s="20" t="s">
        <v>314</v>
      </c>
      <c r="F281" s="25" t="s">
        <v>263</v>
      </c>
      <c r="G281" s="21" t="s">
        <v>315</v>
      </c>
      <c r="H281" s="21" t="s">
        <v>316</v>
      </c>
      <c r="I281" s="16">
        <v>50</v>
      </c>
      <c r="J281" s="16">
        <v>178</v>
      </c>
      <c r="K281" s="16" t="s">
        <v>29</v>
      </c>
      <c r="L281" s="26">
        <v>-0.79100000000000004</v>
      </c>
      <c r="M281" s="26">
        <v>-6.2930000000000001</v>
      </c>
      <c r="N281" s="26"/>
      <c r="O281" s="26"/>
      <c r="P281" s="26"/>
      <c r="Q281" s="20"/>
      <c r="R281" s="24"/>
    </row>
    <row r="282" s="3" customFormat="1">
      <c r="A282" s="22" t="s">
        <v>324</v>
      </c>
      <c r="B282" s="23">
        <v>246.09999999999999</v>
      </c>
      <c r="C282" s="24">
        <f t="shared" si="5"/>
        <v>514.75798250409809</v>
      </c>
      <c r="D282" s="20">
        <v>3.58119190814781e-002</v>
      </c>
      <c r="E282" s="20" t="s">
        <v>314</v>
      </c>
      <c r="F282" s="25" t="s">
        <v>263</v>
      </c>
      <c r="G282" s="21" t="s">
        <v>315</v>
      </c>
      <c r="H282" s="21" t="s">
        <v>316</v>
      </c>
      <c r="I282" s="16">
        <v>50</v>
      </c>
      <c r="J282" s="16">
        <v>178</v>
      </c>
      <c r="K282" s="16" t="s">
        <v>29</v>
      </c>
      <c r="L282" s="26">
        <v>-0.97099999999999997</v>
      </c>
      <c r="M282" s="26">
        <v>-5.1630000000000003</v>
      </c>
      <c r="N282" s="26">
        <v>26.710000000000001</v>
      </c>
      <c r="O282" s="26">
        <v>87.825706960000005</v>
      </c>
      <c r="P282" s="23">
        <v>76.874459999999999</v>
      </c>
      <c r="Q282" s="27">
        <v>4.2576154376292211e-002</v>
      </c>
      <c r="R282" s="28">
        <v>0.41597366703070754</v>
      </c>
    </row>
    <row r="283" s="3" customFormat="1">
      <c r="A283" s="22" t="s">
        <v>325</v>
      </c>
      <c r="B283" s="23">
        <v>245.59999999999999</v>
      </c>
      <c r="C283" s="24">
        <f t="shared" si="5"/>
        <v>514.77588846363881</v>
      </c>
      <c r="D283" s="20">
        <v>3.58119190814781e-002</v>
      </c>
      <c r="E283" s="20" t="s">
        <v>314</v>
      </c>
      <c r="F283" s="25" t="s">
        <v>263</v>
      </c>
      <c r="G283" s="21" t="s">
        <v>315</v>
      </c>
      <c r="H283" s="21" t="s">
        <v>316</v>
      </c>
      <c r="I283" s="16">
        <v>50</v>
      </c>
      <c r="J283" s="16">
        <v>178</v>
      </c>
      <c r="K283" s="16" t="s">
        <v>29</v>
      </c>
      <c r="L283" s="26">
        <v>-0.94699999999999995</v>
      </c>
      <c r="M283" s="26">
        <v>-4.9800000000000004</v>
      </c>
      <c r="N283" s="26"/>
      <c r="O283" s="26"/>
      <c r="P283" s="26"/>
      <c r="Q283" s="20"/>
      <c r="R283" s="24"/>
    </row>
    <row r="284" s="3" customFormat="1">
      <c r="A284" s="22" t="s">
        <v>326</v>
      </c>
      <c r="B284" s="23">
        <v>244.59999999999999</v>
      </c>
      <c r="C284" s="24">
        <f t="shared" si="5"/>
        <v>514.81170038272023</v>
      </c>
      <c r="D284" s="20">
        <v>3.58119190814781e-002</v>
      </c>
      <c r="E284" s="20" t="s">
        <v>314</v>
      </c>
      <c r="F284" s="25" t="s">
        <v>263</v>
      </c>
      <c r="G284" s="21" t="s">
        <v>315</v>
      </c>
      <c r="H284" s="21" t="s">
        <v>316</v>
      </c>
      <c r="I284" s="16">
        <v>50</v>
      </c>
      <c r="J284" s="16">
        <v>178</v>
      </c>
      <c r="K284" s="16" t="s">
        <v>29</v>
      </c>
      <c r="L284" s="26">
        <v>-0.78400000000000003</v>
      </c>
      <c r="M284" s="26">
        <v>-5.6269999999999998</v>
      </c>
      <c r="N284" s="26">
        <v>26.710000000000001</v>
      </c>
      <c r="O284" s="26">
        <v>113.0813749</v>
      </c>
      <c r="P284" s="23">
        <v>79.048704999999998</v>
      </c>
      <c r="Q284" s="27">
        <v>5.0166020748362641e-002</v>
      </c>
      <c r="R284" s="28">
        <v>0.32327108659275505</v>
      </c>
    </row>
    <row r="285" s="3" customFormat="1">
      <c r="A285" s="22" t="s">
        <v>327</v>
      </c>
      <c r="B285" s="23">
        <v>243.59999999999999</v>
      </c>
      <c r="C285" s="24">
        <f t="shared" si="5"/>
        <v>514.84751230180166</v>
      </c>
      <c r="D285" s="20">
        <v>3.58119190814781e-002</v>
      </c>
      <c r="E285" s="20" t="s">
        <v>314</v>
      </c>
      <c r="F285" s="25" t="s">
        <v>263</v>
      </c>
      <c r="G285" s="21" t="s">
        <v>315</v>
      </c>
      <c r="H285" s="21" t="s">
        <v>316</v>
      </c>
      <c r="I285" s="16">
        <v>50</v>
      </c>
      <c r="J285" s="16">
        <v>178</v>
      </c>
      <c r="K285" s="16" t="s">
        <v>29</v>
      </c>
      <c r="L285" s="26">
        <v>-0.77800000000000002</v>
      </c>
      <c r="M285" s="26">
        <v>-5.0579999999999998</v>
      </c>
      <c r="N285" s="26">
        <v>27.449999999999999</v>
      </c>
      <c r="O285" s="26">
        <v>70.629518649999994</v>
      </c>
      <c r="P285" s="23">
        <v>80.326732500000006</v>
      </c>
      <c r="Q285" s="27">
        <v>1.456057391834557e-002</v>
      </c>
      <c r="R285" s="28">
        <v>0.33252319310733397</v>
      </c>
    </row>
    <row r="286" s="3" customFormat="1">
      <c r="A286" s="22" t="s">
        <v>328</v>
      </c>
      <c r="B286" s="23">
        <v>242.59999999999999</v>
      </c>
      <c r="C286" s="24">
        <f t="shared" si="5"/>
        <v>514.88332422088308</v>
      </c>
      <c r="D286" s="20">
        <v>3.58119190814781e-002</v>
      </c>
      <c r="E286" s="20" t="s">
        <v>314</v>
      </c>
      <c r="F286" s="25" t="s">
        <v>263</v>
      </c>
      <c r="G286" s="21" t="s">
        <v>315</v>
      </c>
      <c r="H286" s="21" t="s">
        <v>316</v>
      </c>
      <c r="I286" s="16">
        <v>50</v>
      </c>
      <c r="J286" s="16">
        <v>178</v>
      </c>
      <c r="K286" s="16" t="s">
        <v>29</v>
      </c>
      <c r="L286" s="23">
        <v>-0.81399999999999995</v>
      </c>
      <c r="M286" s="23">
        <v>-5.1660000000000004</v>
      </c>
      <c r="N286" s="26"/>
      <c r="O286" s="26"/>
      <c r="P286" s="26"/>
      <c r="Q286" s="20"/>
      <c r="R286" s="24"/>
    </row>
    <row r="287" s="3" customFormat="1">
      <c r="A287" s="22" t="s">
        <v>329</v>
      </c>
      <c r="B287" s="23">
        <v>241.09999999999999</v>
      </c>
      <c r="C287" s="24">
        <f t="shared" si="5"/>
        <v>514.93704209950533</v>
      </c>
      <c r="D287" s="20">
        <v>3.58119190814781e-002</v>
      </c>
      <c r="E287" s="20" t="s">
        <v>314</v>
      </c>
      <c r="F287" s="25" t="s">
        <v>263</v>
      </c>
      <c r="G287" s="21" t="s">
        <v>315</v>
      </c>
      <c r="H287" s="21" t="s">
        <v>316</v>
      </c>
      <c r="I287" s="16">
        <v>50</v>
      </c>
      <c r="J287" s="16">
        <v>178</v>
      </c>
      <c r="K287" s="16" t="s">
        <v>29</v>
      </c>
      <c r="L287" s="26">
        <v>-0.66200000000000003</v>
      </c>
      <c r="M287" s="26">
        <v>-5.6660000000000004</v>
      </c>
      <c r="N287" s="26">
        <v>24.48</v>
      </c>
      <c r="O287" s="26">
        <v>109.31869589999999</v>
      </c>
      <c r="P287" s="23">
        <v>78.836219999999997</v>
      </c>
      <c r="Q287" s="27">
        <v>8.063778427137594e-002</v>
      </c>
      <c r="R287" s="28">
        <v>0.33066159905595316</v>
      </c>
    </row>
    <row r="288" s="3" customFormat="1">
      <c r="A288" s="22" t="s">
        <v>330</v>
      </c>
      <c r="B288" s="23">
        <v>238.59999999999999</v>
      </c>
      <c r="C288" s="24">
        <f t="shared" si="5"/>
        <v>515.02657189720901</v>
      </c>
      <c r="D288" s="20">
        <v>3.58119190814781e-002</v>
      </c>
      <c r="E288" s="20" t="s">
        <v>314</v>
      </c>
      <c r="F288" s="25" t="s">
        <v>263</v>
      </c>
      <c r="G288" s="21" t="s">
        <v>315</v>
      </c>
      <c r="H288" s="21" t="s">
        <v>316</v>
      </c>
      <c r="I288" s="16">
        <v>50</v>
      </c>
      <c r="J288" s="16">
        <v>178</v>
      </c>
      <c r="K288" s="16" t="s">
        <v>29</v>
      </c>
      <c r="L288" s="26">
        <v>-0.105</v>
      </c>
      <c r="M288" s="26">
        <v>-5.1239999999999997</v>
      </c>
      <c r="N288" s="26">
        <v>25.34</v>
      </c>
      <c r="O288" s="26">
        <v>43.99975551</v>
      </c>
      <c r="P288" s="23">
        <v>82.424279000000013</v>
      </c>
      <c r="Q288" s="27">
        <v>1.0488357349057937e-002</v>
      </c>
      <c r="R288" s="28">
        <v>0.41869746024380239</v>
      </c>
    </row>
    <row r="289" s="3" customFormat="1">
      <c r="A289" s="22" t="s">
        <v>331</v>
      </c>
      <c r="B289" s="23">
        <v>237.79999999999998</v>
      </c>
      <c r="C289" s="24">
        <f t="shared" si="5"/>
        <v>515.05522143247424</v>
      </c>
      <c r="D289" s="20">
        <v>3.58119190814781e-002</v>
      </c>
      <c r="E289" s="20" t="s">
        <v>314</v>
      </c>
      <c r="F289" s="25" t="s">
        <v>263</v>
      </c>
      <c r="G289" s="21" t="s">
        <v>315</v>
      </c>
      <c r="H289" s="21" t="s">
        <v>316</v>
      </c>
      <c r="I289" s="16">
        <v>50</v>
      </c>
      <c r="J289" s="16">
        <v>178</v>
      </c>
      <c r="K289" s="16" t="s">
        <v>29</v>
      </c>
      <c r="L289" s="26">
        <v>-7.0000000000000001e-003</v>
      </c>
      <c r="M289" s="26">
        <v>-5.6529999999999996</v>
      </c>
      <c r="N289" s="26">
        <v>28.670000000000002</v>
      </c>
      <c r="O289" s="26">
        <v>60.973701599999998</v>
      </c>
      <c r="P289" s="23">
        <v>82.093230000000005</v>
      </c>
      <c r="Q289" s="27">
        <v>9.6113022927982086e-002</v>
      </c>
      <c r="R289" s="28">
        <v>0.49810077944889669</v>
      </c>
    </row>
    <row r="290" s="3" customFormat="1">
      <c r="A290" s="22" t="s">
        <v>332</v>
      </c>
      <c r="B290" s="23">
        <v>236</v>
      </c>
      <c r="C290" s="24">
        <f t="shared" si="5"/>
        <v>515.1196828868209</v>
      </c>
      <c r="D290" s="20">
        <v>3.58119190814781e-002</v>
      </c>
      <c r="E290" s="20" t="s">
        <v>314</v>
      </c>
      <c r="F290" s="25" t="s">
        <v>263</v>
      </c>
      <c r="G290" s="21" t="s">
        <v>315</v>
      </c>
      <c r="H290" s="21" t="s">
        <v>316</v>
      </c>
      <c r="I290" s="16">
        <v>50</v>
      </c>
      <c r="J290" s="16">
        <v>178</v>
      </c>
      <c r="K290" s="16" t="s">
        <v>29</v>
      </c>
      <c r="L290" s="26">
        <v>0.17000000000000001</v>
      </c>
      <c r="M290" s="26">
        <v>-5.2199999999999998</v>
      </c>
      <c r="N290" s="26">
        <v>28.34</v>
      </c>
      <c r="O290" s="26">
        <v>42.676377889999998</v>
      </c>
      <c r="P290" s="23">
        <v>82.026470500000002</v>
      </c>
      <c r="Q290" s="27">
        <v>2.6456934071248186e-002</v>
      </c>
      <c r="R290" s="28">
        <v>0.42859396874929567</v>
      </c>
    </row>
    <row r="291" s="3" customFormat="1">
      <c r="A291" s="22" t="s">
        <v>333</v>
      </c>
      <c r="B291" s="23">
        <v>235.29999999999998</v>
      </c>
      <c r="C291" s="24">
        <f t="shared" si="5"/>
        <v>515.14475123017792</v>
      </c>
      <c r="D291" s="20">
        <v>3.58119190814781e-002</v>
      </c>
      <c r="E291" s="20" t="s">
        <v>314</v>
      </c>
      <c r="F291" s="25" t="s">
        <v>263</v>
      </c>
      <c r="G291" s="21" t="s">
        <v>315</v>
      </c>
      <c r="H291" s="21" t="s">
        <v>316</v>
      </c>
      <c r="I291" s="16">
        <v>50</v>
      </c>
      <c r="J291" s="16">
        <v>178</v>
      </c>
      <c r="K291" s="16" t="s">
        <v>29</v>
      </c>
      <c r="L291" s="23">
        <v>0.627</v>
      </c>
      <c r="M291" s="23">
        <v>-4.319</v>
      </c>
      <c r="N291" s="26"/>
      <c r="O291" s="26"/>
      <c r="P291" s="26"/>
      <c r="Q291" s="20"/>
      <c r="R291" s="24"/>
    </row>
    <row r="292" s="3" customFormat="1">
      <c r="A292" s="22" t="s">
        <v>334</v>
      </c>
      <c r="B292" s="23">
        <v>234.29999999999998</v>
      </c>
      <c r="C292" s="24">
        <f t="shared" si="5"/>
        <v>515.18056314925934</v>
      </c>
      <c r="D292" s="20">
        <v>3.58119190814781e-002</v>
      </c>
      <c r="E292" s="20" t="s">
        <v>314</v>
      </c>
      <c r="F292" s="25" t="s">
        <v>263</v>
      </c>
      <c r="G292" s="21" t="s">
        <v>315</v>
      </c>
      <c r="H292" s="21" t="s">
        <v>316</v>
      </c>
      <c r="I292" s="16">
        <v>50</v>
      </c>
      <c r="J292" s="16">
        <v>178</v>
      </c>
      <c r="K292" s="16" t="s">
        <v>29</v>
      </c>
      <c r="L292" s="23">
        <v>0.58399999999999996</v>
      </c>
      <c r="M292" s="23">
        <v>-4.5650000000000004</v>
      </c>
      <c r="N292" s="26"/>
      <c r="O292" s="26"/>
      <c r="P292" s="26"/>
      <c r="Q292" s="20"/>
      <c r="R292" s="24"/>
    </row>
    <row r="293" s="3" customFormat="1">
      <c r="A293" s="16" t="s">
        <v>335</v>
      </c>
      <c r="B293" s="26">
        <v>232.59999999999999</v>
      </c>
      <c r="C293" s="24">
        <f t="shared" si="5"/>
        <v>515.2414434116979</v>
      </c>
      <c r="D293" s="20">
        <v>3.58119190814781e-002</v>
      </c>
      <c r="E293" s="20" t="s">
        <v>314</v>
      </c>
      <c r="F293" s="25" t="s">
        <v>263</v>
      </c>
      <c r="G293" s="21" t="s">
        <v>315</v>
      </c>
      <c r="H293" s="21" t="s">
        <v>316</v>
      </c>
      <c r="I293" s="16">
        <v>50</v>
      </c>
      <c r="J293" s="16">
        <v>178</v>
      </c>
      <c r="K293" s="16" t="s">
        <v>29</v>
      </c>
      <c r="L293" s="26">
        <v>1.1439999999999999</v>
      </c>
      <c r="M293" s="26">
        <v>-5.2910000000000004</v>
      </c>
      <c r="N293" s="26"/>
      <c r="O293" s="26"/>
      <c r="P293" s="26"/>
      <c r="Q293" s="20"/>
      <c r="R293" s="24"/>
    </row>
    <row r="294" s="3" customFormat="1">
      <c r="A294" s="16" t="s">
        <v>336</v>
      </c>
      <c r="B294" s="26">
        <v>232.39999999999998</v>
      </c>
      <c r="C294" s="24">
        <f t="shared" si="5"/>
        <v>515.24860579551421</v>
      </c>
      <c r="D294" s="20">
        <v>3.58119190814781e-002</v>
      </c>
      <c r="E294" s="20" t="s">
        <v>314</v>
      </c>
      <c r="F294" s="25" t="s">
        <v>263</v>
      </c>
      <c r="G294" s="21" t="s">
        <v>315</v>
      </c>
      <c r="H294" s="21" t="s">
        <v>316</v>
      </c>
      <c r="I294" s="16">
        <v>50</v>
      </c>
      <c r="J294" s="16">
        <v>178</v>
      </c>
      <c r="K294" s="16" t="s">
        <v>29</v>
      </c>
      <c r="L294" s="26">
        <v>1.1399999999999999</v>
      </c>
      <c r="M294" s="26">
        <v>-5.3710000000000004</v>
      </c>
      <c r="N294" s="26">
        <v>29.039999999999999</v>
      </c>
      <c r="O294" s="26">
        <v>83.511453009999997</v>
      </c>
      <c r="P294" s="23">
        <v>77.901690000000002</v>
      </c>
      <c r="Q294" s="27">
        <v>7.5641662644445065e-002</v>
      </c>
      <c r="R294" s="28">
        <v>0.25802381183485923</v>
      </c>
    </row>
    <row r="295" s="3" customFormat="1">
      <c r="A295" s="16" t="s">
        <v>337</v>
      </c>
      <c r="B295" s="26">
        <v>231.59999999999999</v>
      </c>
      <c r="C295" s="24">
        <f t="shared" si="5"/>
        <v>515.27725533077944</v>
      </c>
      <c r="D295" s="20">
        <v>3.58119190814781e-002</v>
      </c>
      <c r="E295" s="20" t="s">
        <v>314</v>
      </c>
      <c r="F295" s="25" t="s">
        <v>263</v>
      </c>
      <c r="G295" s="21" t="s">
        <v>315</v>
      </c>
      <c r="H295" s="21" t="s">
        <v>316</v>
      </c>
      <c r="I295" s="16">
        <v>50</v>
      </c>
      <c r="J295" s="16">
        <v>178</v>
      </c>
      <c r="K295" s="16" t="s">
        <v>29</v>
      </c>
      <c r="L295" s="26">
        <v>1.22</v>
      </c>
      <c r="M295" s="26">
        <v>-5.54</v>
      </c>
      <c r="N295" s="26">
        <v>29.59</v>
      </c>
      <c r="O295" s="26">
        <v>103.9069616</v>
      </c>
      <c r="P295" s="23">
        <v>68.079750000000004</v>
      </c>
      <c r="Q295" s="27">
        <v>0.16313467576052829</v>
      </c>
      <c r="R295" s="28">
        <v>0.62754356625751007</v>
      </c>
    </row>
    <row r="296" s="3" customFormat="1">
      <c r="A296" s="16" t="s">
        <v>338</v>
      </c>
      <c r="B296" s="26">
        <v>226.19999999999999</v>
      </c>
      <c r="C296" s="24">
        <f t="shared" si="5"/>
        <v>515.47063969381941</v>
      </c>
      <c r="D296" s="20">
        <v>3.58119190814781e-002</v>
      </c>
      <c r="E296" s="20" t="s">
        <v>314</v>
      </c>
      <c r="F296" s="25" t="s">
        <v>263</v>
      </c>
      <c r="G296" s="21" t="s">
        <v>315</v>
      </c>
      <c r="H296" s="21" t="s">
        <v>316</v>
      </c>
      <c r="I296" s="16">
        <v>50</v>
      </c>
      <c r="J296" s="16">
        <v>178</v>
      </c>
      <c r="K296" s="16" t="s">
        <v>29</v>
      </c>
      <c r="L296" s="26">
        <v>0.43099999999999999</v>
      </c>
      <c r="M296" s="26">
        <v>-5.3550000000000004</v>
      </c>
      <c r="N296" s="26">
        <v>31.52</v>
      </c>
      <c r="O296" s="26">
        <v>32.721205759999997</v>
      </c>
      <c r="P296" s="23">
        <v>80.62182949999999</v>
      </c>
      <c r="Q296" s="27">
        <v>1.1172079956916237e-002</v>
      </c>
      <c r="R296" s="28">
        <v>0.53795713478495122</v>
      </c>
    </row>
    <row r="297" s="3" customFormat="1">
      <c r="A297" s="16" t="s">
        <v>339</v>
      </c>
      <c r="B297" s="26">
        <v>225.79999999999998</v>
      </c>
      <c r="C297" s="24">
        <f t="shared" si="5"/>
        <v>515.48496446145202</v>
      </c>
      <c r="D297" s="20">
        <v>3.58119190814781e-002</v>
      </c>
      <c r="E297" s="20" t="s">
        <v>314</v>
      </c>
      <c r="F297" s="25" t="s">
        <v>263</v>
      </c>
      <c r="G297" s="21" t="s">
        <v>315</v>
      </c>
      <c r="H297" s="21" t="s">
        <v>316</v>
      </c>
      <c r="I297" s="16">
        <v>50</v>
      </c>
      <c r="J297" s="16">
        <v>178</v>
      </c>
      <c r="K297" s="16" t="s">
        <v>29</v>
      </c>
      <c r="L297" s="26">
        <v>0.371</v>
      </c>
      <c r="M297" s="26">
        <v>-5.6900000000000004</v>
      </c>
      <c r="N297" s="26">
        <v>31.23</v>
      </c>
      <c r="O297" s="26">
        <v>139.25186540000001</v>
      </c>
      <c r="P297" s="23">
        <v>76.426935</v>
      </c>
      <c r="Q297" s="27">
        <v>6.4924206740033408e-002</v>
      </c>
      <c r="R297" s="28">
        <v>0.37172174506569594</v>
      </c>
    </row>
    <row r="298" s="3" customFormat="1">
      <c r="A298" s="16" t="s">
        <v>340</v>
      </c>
      <c r="B298" s="26">
        <v>224.59999999999999</v>
      </c>
      <c r="C298" s="24">
        <f t="shared" si="5"/>
        <v>515.52793876434976</v>
      </c>
      <c r="D298" s="20">
        <v>3.58119190814781e-002</v>
      </c>
      <c r="E298" s="20" t="s">
        <v>314</v>
      </c>
      <c r="F298" s="25" t="s">
        <v>263</v>
      </c>
      <c r="G298" s="21" t="s">
        <v>315</v>
      </c>
      <c r="H298" s="21" t="s">
        <v>316</v>
      </c>
      <c r="I298" s="16">
        <v>50</v>
      </c>
      <c r="J298" s="16">
        <v>178</v>
      </c>
      <c r="K298" s="16" t="s">
        <v>29</v>
      </c>
      <c r="L298" s="26">
        <v>0.313</v>
      </c>
      <c r="M298" s="26">
        <v>-6.9409999999999998</v>
      </c>
      <c r="N298" s="26"/>
      <c r="O298" s="26"/>
      <c r="P298" s="26"/>
      <c r="Q298" s="20"/>
      <c r="R298" s="24"/>
    </row>
    <row r="299" s="3" customFormat="1">
      <c r="A299" s="16" t="s">
        <v>341</v>
      </c>
      <c r="B299" s="26">
        <v>223.19999999999999</v>
      </c>
      <c r="C299" s="24">
        <f t="shared" si="5"/>
        <v>515.5780754510638</v>
      </c>
      <c r="D299" s="20">
        <v>3.58119190814781e-002</v>
      </c>
      <c r="E299" s="20" t="s">
        <v>314</v>
      </c>
      <c r="F299" s="25" t="s">
        <v>263</v>
      </c>
      <c r="G299" s="21" t="s">
        <v>315</v>
      </c>
      <c r="H299" s="21" t="s">
        <v>316</v>
      </c>
      <c r="I299" s="16">
        <v>50</v>
      </c>
      <c r="J299" s="16">
        <v>178</v>
      </c>
      <c r="K299" s="16" t="s">
        <v>29</v>
      </c>
      <c r="L299" s="26">
        <v>0.27500000000000002</v>
      </c>
      <c r="M299" s="26">
        <v>-5.2240000000000002</v>
      </c>
      <c r="N299" s="26"/>
      <c r="O299" s="26"/>
      <c r="P299" s="26"/>
      <c r="Q299" s="20"/>
      <c r="R299" s="24"/>
    </row>
    <row r="300" s="3" customFormat="1">
      <c r="A300" s="16" t="s">
        <v>342</v>
      </c>
      <c r="B300" s="26">
        <v>222.19999999999999</v>
      </c>
      <c r="C300" s="24">
        <f t="shared" si="5"/>
        <v>515.61388737014522</v>
      </c>
      <c r="D300" s="20">
        <v>3.58119190814781e-002</v>
      </c>
      <c r="E300" s="20" t="s">
        <v>314</v>
      </c>
      <c r="F300" s="25" t="s">
        <v>263</v>
      </c>
      <c r="G300" s="21" t="s">
        <v>315</v>
      </c>
      <c r="H300" s="21" t="s">
        <v>316</v>
      </c>
      <c r="I300" s="16">
        <v>50</v>
      </c>
      <c r="J300" s="16">
        <v>178</v>
      </c>
      <c r="K300" s="16" t="s">
        <v>29</v>
      </c>
      <c r="L300" s="26">
        <v>0.40000000000000002</v>
      </c>
      <c r="M300" s="26">
        <v>-5.702</v>
      </c>
      <c r="N300" s="26">
        <v>28.91</v>
      </c>
      <c r="O300" s="26">
        <v>141.43709509999999</v>
      </c>
      <c r="P300" s="23">
        <v>74.626204999999999</v>
      </c>
      <c r="Q300" s="27">
        <v>0.11016793172915934</v>
      </c>
      <c r="R300" s="28">
        <v>0.92028869465475438</v>
      </c>
    </row>
    <row r="301" s="3" customFormat="1">
      <c r="A301" s="16" t="s">
        <v>343</v>
      </c>
      <c r="B301" s="26">
        <v>221.19999999999999</v>
      </c>
      <c r="C301" s="24">
        <f t="shared" si="5"/>
        <v>515.64969928922665</v>
      </c>
      <c r="D301" s="20">
        <v>3.58119190814781e-002</v>
      </c>
      <c r="E301" s="20" t="s">
        <v>314</v>
      </c>
      <c r="F301" s="25" t="s">
        <v>263</v>
      </c>
      <c r="G301" s="21" t="s">
        <v>315</v>
      </c>
      <c r="H301" s="21" t="s">
        <v>316</v>
      </c>
      <c r="I301" s="16">
        <v>50</v>
      </c>
      <c r="J301" s="16">
        <v>178</v>
      </c>
      <c r="K301" s="16" t="s">
        <v>29</v>
      </c>
      <c r="L301" s="26">
        <v>0.24099999999999999</v>
      </c>
      <c r="M301" s="26">
        <v>-5.9009999999999998</v>
      </c>
      <c r="N301" s="26"/>
      <c r="O301" s="26"/>
      <c r="P301" s="26"/>
      <c r="Q301" s="20"/>
      <c r="R301" s="24"/>
    </row>
    <row r="302" s="3" customFormat="1">
      <c r="A302" s="16" t="s">
        <v>344</v>
      </c>
      <c r="B302" s="26">
        <v>216.19999999999999</v>
      </c>
      <c r="C302" s="24">
        <f t="shared" si="5"/>
        <v>515.828758884634</v>
      </c>
      <c r="D302" s="20">
        <v>3.58119190814781e-002</v>
      </c>
      <c r="E302" s="20" t="s">
        <v>314</v>
      </c>
      <c r="F302" s="25" t="s">
        <v>345</v>
      </c>
      <c r="G302" s="21" t="s">
        <v>346</v>
      </c>
      <c r="H302" s="21" t="s">
        <v>316</v>
      </c>
      <c r="I302" s="16">
        <v>41</v>
      </c>
      <c r="J302" s="16">
        <v>128</v>
      </c>
      <c r="K302" s="16" t="s">
        <v>29</v>
      </c>
      <c r="L302" s="26">
        <v>-0.17499999999999999</v>
      </c>
      <c r="M302" s="26">
        <v>-6.2549999999999999</v>
      </c>
      <c r="N302" s="26">
        <v>30.190000000000001</v>
      </c>
      <c r="O302" s="26">
        <v>75.164630399999993</v>
      </c>
      <c r="P302" s="23">
        <v>76.615166500000001</v>
      </c>
      <c r="Q302" s="27">
        <v>2.5923111778390955e-002</v>
      </c>
      <c r="R302" s="28">
        <v>0.35976395868358274</v>
      </c>
    </row>
    <row r="303" s="3" customFormat="1">
      <c r="A303" s="16" t="s">
        <v>347</v>
      </c>
      <c r="B303" s="26">
        <v>213.89999999999998</v>
      </c>
      <c r="C303" s="24">
        <f t="shared" si="5"/>
        <v>515.91112629852137</v>
      </c>
      <c r="D303" s="20">
        <v>3.58119190814781e-002</v>
      </c>
      <c r="E303" s="20" t="s">
        <v>314</v>
      </c>
      <c r="F303" s="25" t="s">
        <v>345</v>
      </c>
      <c r="G303" s="21" t="s">
        <v>346</v>
      </c>
      <c r="H303" s="21" t="s">
        <v>316</v>
      </c>
      <c r="I303" s="16">
        <v>41</v>
      </c>
      <c r="J303" s="16">
        <v>128</v>
      </c>
      <c r="K303" s="16" t="s">
        <v>29</v>
      </c>
      <c r="L303" s="26">
        <v>-0.27100000000000002</v>
      </c>
      <c r="M303" s="26">
        <v>-6.1500000000000004</v>
      </c>
      <c r="N303" s="26"/>
      <c r="O303" s="26"/>
      <c r="P303" s="26"/>
      <c r="Q303" s="20"/>
      <c r="R303" s="24"/>
    </row>
    <row r="304" s="3" customFormat="1">
      <c r="A304" s="16" t="s">
        <v>348</v>
      </c>
      <c r="B304" s="26">
        <v>213.19999999999999</v>
      </c>
      <c r="C304" s="24">
        <f t="shared" si="5"/>
        <v>515.93619464187839</v>
      </c>
      <c r="D304" s="20">
        <v>3.58119190814781e-002</v>
      </c>
      <c r="E304" s="20" t="s">
        <v>314</v>
      </c>
      <c r="F304" s="25" t="s">
        <v>345</v>
      </c>
      <c r="G304" s="21" t="s">
        <v>346</v>
      </c>
      <c r="H304" s="21" t="s">
        <v>316</v>
      </c>
      <c r="I304" s="16">
        <v>41</v>
      </c>
      <c r="J304" s="16">
        <v>128</v>
      </c>
      <c r="K304" s="16" t="s">
        <v>29</v>
      </c>
      <c r="L304" s="26">
        <v>-0.104</v>
      </c>
      <c r="M304" s="26">
        <v>-6.2480000000000002</v>
      </c>
      <c r="N304" s="26">
        <v>29.550000000000001</v>
      </c>
      <c r="O304" s="26">
        <v>62.853704200000003</v>
      </c>
      <c r="P304" s="23">
        <v>75.442637999999988</v>
      </c>
      <c r="Q304" s="27">
        <v>2.2966378219379552e-002</v>
      </c>
      <c r="R304" s="28">
        <v>0.22938894173729946</v>
      </c>
    </row>
    <row r="305" s="3" customFormat="1">
      <c r="A305" s="16" t="s">
        <v>349</v>
      </c>
      <c r="B305" s="26">
        <v>212.29999999999998</v>
      </c>
      <c r="C305" s="24">
        <f t="shared" si="5"/>
        <v>515.96842536905172</v>
      </c>
      <c r="D305" s="20">
        <v>3.58119190814781e-002</v>
      </c>
      <c r="E305" s="20" t="s">
        <v>314</v>
      </c>
      <c r="F305" s="25" t="s">
        <v>345</v>
      </c>
      <c r="G305" s="21" t="s">
        <v>346</v>
      </c>
      <c r="H305" s="21" t="s">
        <v>316</v>
      </c>
      <c r="I305" s="16">
        <v>41</v>
      </c>
      <c r="J305" s="16">
        <v>128</v>
      </c>
      <c r="K305" s="16" t="s">
        <v>29</v>
      </c>
      <c r="L305" s="26">
        <v>6.4000000000000001e-002</v>
      </c>
      <c r="M305" s="26">
        <v>-6.1449999999999996</v>
      </c>
      <c r="N305" s="26">
        <v>30.640000000000001</v>
      </c>
      <c r="O305" s="26">
        <v>9.3735363770000006</v>
      </c>
      <c r="P305" s="23">
        <v>83.681349499999996</v>
      </c>
      <c r="Q305" s="27">
        <v>5.2805708627648076e-003</v>
      </c>
      <c r="R305" s="28">
        <v>0.29611768659902443</v>
      </c>
    </row>
    <row r="306" s="3" customFormat="1">
      <c r="A306" s="16" t="s">
        <v>350</v>
      </c>
      <c r="B306" s="26">
        <v>211.79999999999998</v>
      </c>
      <c r="C306" s="24">
        <f t="shared" si="5"/>
        <v>515.98633132859243</v>
      </c>
      <c r="D306" s="20">
        <v>3.58119190814781e-002</v>
      </c>
      <c r="E306" s="20" t="s">
        <v>314</v>
      </c>
      <c r="F306" s="25" t="s">
        <v>345</v>
      </c>
      <c r="G306" s="21" t="s">
        <v>346</v>
      </c>
      <c r="H306" s="21" t="s">
        <v>316</v>
      </c>
      <c r="I306" s="16">
        <v>41</v>
      </c>
      <c r="J306" s="16">
        <v>128</v>
      </c>
      <c r="K306" s="16" t="s">
        <v>29</v>
      </c>
      <c r="L306" s="26">
        <v>-5.2999999999999999e-002</v>
      </c>
      <c r="M306" s="26">
        <v>-5.9729999999999999</v>
      </c>
      <c r="N306" s="26"/>
      <c r="O306" s="26"/>
      <c r="P306" s="26"/>
      <c r="Q306" s="20"/>
      <c r="R306" s="24"/>
    </row>
    <row r="307" s="3" customFormat="1">
      <c r="A307" s="16" t="s">
        <v>351</v>
      </c>
      <c r="B307" s="26">
        <v>211</v>
      </c>
      <c r="C307" s="24">
        <f t="shared" si="5"/>
        <v>516.01498086385766</v>
      </c>
      <c r="D307" s="20">
        <v>3.58119190814781e-002</v>
      </c>
      <c r="E307" s="20" t="s">
        <v>314</v>
      </c>
      <c r="F307" s="25" t="s">
        <v>345</v>
      </c>
      <c r="G307" s="21" t="s">
        <v>346</v>
      </c>
      <c r="H307" s="21" t="s">
        <v>316</v>
      </c>
      <c r="I307" s="16">
        <v>41</v>
      </c>
      <c r="J307" s="16">
        <v>128</v>
      </c>
      <c r="K307" s="16" t="s">
        <v>29</v>
      </c>
      <c r="L307" s="26">
        <v>3.7999999999999999e-002</v>
      </c>
      <c r="M307" s="26">
        <v>-5.7809999999999997</v>
      </c>
      <c r="N307" s="26">
        <v>29.640000000000001</v>
      </c>
      <c r="O307" s="26">
        <v>27.626720769999999</v>
      </c>
      <c r="P307" s="23">
        <v>77.4573465</v>
      </c>
      <c r="Q307" s="27">
        <v>2.2852903165636325e-002</v>
      </c>
      <c r="R307" s="28">
        <v>0.61451907467532463</v>
      </c>
    </row>
    <row r="308" s="3" customFormat="1">
      <c r="A308" s="22" t="s">
        <v>352</v>
      </c>
      <c r="B308" s="23">
        <v>208</v>
      </c>
      <c r="C308" s="24">
        <f t="shared" si="5"/>
        <v>516.12241662110205</v>
      </c>
      <c r="D308" s="20">
        <v>3.58119190814781e-002</v>
      </c>
      <c r="E308" s="20" t="s">
        <v>314</v>
      </c>
      <c r="F308" s="25" t="s">
        <v>345</v>
      </c>
      <c r="G308" s="21" t="s">
        <v>346</v>
      </c>
      <c r="H308" s="21" t="s">
        <v>316</v>
      </c>
      <c r="I308" s="16">
        <v>41</v>
      </c>
      <c r="J308" s="16">
        <v>128</v>
      </c>
      <c r="K308" s="16" t="s">
        <v>29</v>
      </c>
      <c r="L308" s="23">
        <v>0.89900000000000002</v>
      </c>
      <c r="M308" s="23">
        <v>-5.6340000000000003</v>
      </c>
      <c r="N308" s="26"/>
      <c r="O308" s="26"/>
      <c r="P308" s="26"/>
      <c r="Q308" s="20"/>
      <c r="R308" s="24"/>
    </row>
    <row r="309" s="3" customFormat="1">
      <c r="A309" s="16" t="s">
        <v>353</v>
      </c>
      <c r="B309" s="26">
        <v>206.89999999999998</v>
      </c>
      <c r="C309" s="24">
        <f t="shared" si="5"/>
        <v>516.16180973209168</v>
      </c>
      <c r="D309" s="20">
        <v>3.58119190814781e-002</v>
      </c>
      <c r="E309" s="20" t="s">
        <v>314</v>
      </c>
      <c r="F309" s="25" t="s">
        <v>345</v>
      </c>
      <c r="G309" s="21" t="s">
        <v>346</v>
      </c>
      <c r="H309" s="21" t="s">
        <v>316</v>
      </c>
      <c r="I309" s="16">
        <v>41</v>
      </c>
      <c r="J309" s="16">
        <v>128</v>
      </c>
      <c r="K309" s="16" t="s">
        <v>29</v>
      </c>
      <c r="L309" s="26">
        <v>1.1639999999999999</v>
      </c>
      <c r="M309" s="26">
        <v>-5.6349999999999998</v>
      </c>
      <c r="N309" s="26"/>
      <c r="O309" s="26"/>
      <c r="P309" s="26"/>
      <c r="Q309" s="20"/>
      <c r="R309" s="24"/>
    </row>
    <row r="310" s="3" customFormat="1">
      <c r="A310" s="16" t="s">
        <v>354</v>
      </c>
      <c r="B310" s="26">
        <v>206</v>
      </c>
      <c r="C310" s="24">
        <f t="shared" si="5"/>
        <v>516.19404045926501</v>
      </c>
      <c r="D310" s="20">
        <v>3.58119190814781e-002</v>
      </c>
      <c r="E310" s="20" t="s">
        <v>314</v>
      </c>
      <c r="F310" s="25" t="s">
        <v>345</v>
      </c>
      <c r="G310" s="21" t="s">
        <v>346</v>
      </c>
      <c r="H310" s="21" t="s">
        <v>316</v>
      </c>
      <c r="I310" s="16">
        <v>41</v>
      </c>
      <c r="J310" s="16">
        <v>128</v>
      </c>
      <c r="K310" s="16" t="s">
        <v>29</v>
      </c>
      <c r="L310" s="26">
        <v>1.268</v>
      </c>
      <c r="M310" s="26">
        <v>-5.4969999999999999</v>
      </c>
      <c r="N310" s="26">
        <v>26.960000000000001</v>
      </c>
      <c r="O310" s="26">
        <v>63.837160570000002</v>
      </c>
      <c r="P310" s="23">
        <v>75.662255000000002</v>
      </c>
      <c r="Q310" s="27">
        <v>9.2938492330211647e-002</v>
      </c>
      <c r="R310" s="28">
        <v>0.97883401616653742</v>
      </c>
    </row>
    <row r="311" s="3" customFormat="1">
      <c r="A311" s="16" t="s">
        <v>355</v>
      </c>
      <c r="B311" s="26">
        <v>205</v>
      </c>
      <c r="C311" s="24">
        <f t="shared" si="5"/>
        <v>516.22985237834644</v>
      </c>
      <c r="D311" s="20">
        <v>3.58119190814781e-002</v>
      </c>
      <c r="E311" s="20" t="s">
        <v>314</v>
      </c>
      <c r="F311" s="25" t="s">
        <v>345</v>
      </c>
      <c r="G311" s="21" t="s">
        <v>346</v>
      </c>
      <c r="H311" s="21" t="s">
        <v>316</v>
      </c>
      <c r="I311" s="16">
        <v>41</v>
      </c>
      <c r="J311" s="16">
        <v>128</v>
      </c>
      <c r="K311" s="16" t="s">
        <v>29</v>
      </c>
      <c r="L311" s="26">
        <v>1.5169999999999999</v>
      </c>
      <c r="M311" s="26">
        <v>-5.7789999999999999</v>
      </c>
      <c r="N311" s="26">
        <v>29.68</v>
      </c>
      <c r="O311" s="26">
        <v>53.719999999999999</v>
      </c>
      <c r="P311" s="23">
        <v>80.789296000000007</v>
      </c>
      <c r="Q311" s="27">
        <v>2.2936733279463946e-002</v>
      </c>
      <c r="R311" s="28">
        <v>0.1503004468821339</v>
      </c>
    </row>
    <row r="312" s="3" customFormat="1">
      <c r="A312" s="16" t="s">
        <v>356</v>
      </c>
      <c r="B312" s="26">
        <v>204.5</v>
      </c>
      <c r="C312" s="24">
        <f t="shared" si="5"/>
        <v>516.24775833788715</v>
      </c>
      <c r="D312" s="20">
        <v>3.58119190814781e-002</v>
      </c>
      <c r="E312" s="20" t="s">
        <v>314</v>
      </c>
      <c r="F312" s="25" t="s">
        <v>345</v>
      </c>
      <c r="G312" s="21" t="s">
        <v>346</v>
      </c>
      <c r="H312" s="21" t="s">
        <v>316</v>
      </c>
      <c r="I312" s="16">
        <v>41</v>
      </c>
      <c r="J312" s="16">
        <v>128</v>
      </c>
      <c r="K312" s="16" t="s">
        <v>29</v>
      </c>
      <c r="L312" s="26">
        <v>1.8799999999999999</v>
      </c>
      <c r="M312" s="26">
        <v>-5.4199999999999999</v>
      </c>
      <c r="N312" s="26">
        <v>30.440000000000001</v>
      </c>
      <c r="O312" s="26">
        <v>0.78645201399999998</v>
      </c>
      <c r="P312" s="26">
        <v>81.9833</v>
      </c>
      <c r="Q312" s="20">
        <v>1.4e-002</v>
      </c>
      <c r="R312" s="24">
        <v>0.14999999999999999</v>
      </c>
    </row>
    <row r="313" s="3" customFormat="1">
      <c r="A313" s="16" t="s">
        <v>357</v>
      </c>
      <c r="B313" s="26">
        <v>203.59999999999999</v>
      </c>
      <c r="C313" s="24">
        <f t="shared" si="5"/>
        <v>516.27998906506048</v>
      </c>
      <c r="D313" s="20">
        <v>3.58119190814781e-002</v>
      </c>
      <c r="E313" s="20" t="s">
        <v>314</v>
      </c>
      <c r="F313" s="25" t="s">
        <v>345</v>
      </c>
      <c r="G313" s="21" t="s">
        <v>346</v>
      </c>
      <c r="H313" s="21" t="s">
        <v>316</v>
      </c>
      <c r="I313" s="16">
        <v>41</v>
      </c>
      <c r="J313" s="16">
        <v>128</v>
      </c>
      <c r="K313" s="16" t="s">
        <v>29</v>
      </c>
      <c r="L313" s="26">
        <v>1.7629999999999999</v>
      </c>
      <c r="M313" s="26">
        <v>-5.3049999999999997</v>
      </c>
      <c r="N313" s="26">
        <v>31.77</v>
      </c>
      <c r="O313" s="26">
        <v>33.489389170000003</v>
      </c>
      <c r="P313" s="23">
        <v>78.369091999999995</v>
      </c>
      <c r="Q313" s="27">
        <v>1.7829859862281833e-002</v>
      </c>
      <c r="R313" s="28">
        <v>0.79704686319754148</v>
      </c>
    </row>
    <row r="314" s="3" customFormat="1">
      <c r="A314" s="16" t="s">
        <v>358</v>
      </c>
      <c r="B314" s="26">
        <v>202.29999999999998</v>
      </c>
      <c r="C314" s="24">
        <f t="shared" si="5"/>
        <v>516.32654455986642</v>
      </c>
      <c r="D314" s="20">
        <v>3.58119190814781e-002</v>
      </c>
      <c r="E314" s="20" t="s">
        <v>314</v>
      </c>
      <c r="F314" s="25" t="s">
        <v>345</v>
      </c>
      <c r="G314" s="21" t="s">
        <v>359</v>
      </c>
      <c r="H314" s="21" t="s">
        <v>360</v>
      </c>
      <c r="I314" s="16">
        <v>52</v>
      </c>
      <c r="J314" s="16">
        <v>158</v>
      </c>
      <c r="K314" s="16" t="s">
        <v>207</v>
      </c>
      <c r="L314" s="26">
        <v>2.2040000000000002</v>
      </c>
      <c r="M314" s="26">
        <v>-5.7110000000000003</v>
      </c>
      <c r="N314" s="26"/>
      <c r="O314" s="26"/>
      <c r="P314" s="23">
        <v>82.949281999999997</v>
      </c>
      <c r="Q314" s="27">
        <v>1.3125809520886404e-002</v>
      </c>
      <c r="R314" s="28">
        <v>0.13628813816088473</v>
      </c>
    </row>
    <row r="315" s="3" customFormat="1">
      <c r="A315" s="16" t="s">
        <v>361</v>
      </c>
      <c r="B315" s="26">
        <v>201.75</v>
      </c>
      <c r="C315" s="24">
        <f t="shared" si="5"/>
        <v>516.34624111536118</v>
      </c>
      <c r="D315" s="20">
        <v>3.58119190814781e-002</v>
      </c>
      <c r="E315" s="20" t="s">
        <v>314</v>
      </c>
      <c r="F315" s="25" t="s">
        <v>345</v>
      </c>
      <c r="G315" s="21" t="s">
        <v>359</v>
      </c>
      <c r="H315" s="21" t="s">
        <v>360</v>
      </c>
      <c r="I315" s="16">
        <v>52</v>
      </c>
      <c r="J315" s="16">
        <v>158</v>
      </c>
      <c r="K315" s="16" t="s">
        <v>207</v>
      </c>
      <c r="L315" s="26">
        <v>2.2000000000000002</v>
      </c>
      <c r="M315" s="26">
        <v>-5.0510000000000002</v>
      </c>
      <c r="N315" s="26"/>
      <c r="O315" s="26"/>
      <c r="P315" s="26"/>
      <c r="Q315" s="20"/>
      <c r="R315" s="24"/>
    </row>
    <row r="316" s="3" customFormat="1">
      <c r="A316" s="16" t="s">
        <v>362</v>
      </c>
      <c r="B316" s="26">
        <v>201.64999999999998</v>
      </c>
      <c r="C316" s="24">
        <f t="shared" si="5"/>
        <v>516.34982230726928</v>
      </c>
      <c r="D316" s="20">
        <v>3.58119190814781e-002</v>
      </c>
      <c r="E316" s="20" t="s">
        <v>314</v>
      </c>
      <c r="F316" s="25" t="s">
        <v>345</v>
      </c>
      <c r="G316" s="21" t="s">
        <v>359</v>
      </c>
      <c r="H316" s="21" t="s">
        <v>360</v>
      </c>
      <c r="I316" s="16">
        <v>52</v>
      </c>
      <c r="J316" s="16">
        <v>158</v>
      </c>
      <c r="K316" s="16" t="s">
        <v>207</v>
      </c>
      <c r="L316" s="26">
        <v>2.593</v>
      </c>
      <c r="M316" s="26">
        <v>-5.016</v>
      </c>
      <c r="N316" s="26">
        <v>32.82</v>
      </c>
      <c r="O316" s="26">
        <v>72.375676960000007</v>
      </c>
      <c r="P316" s="23">
        <v>74.925520000000006</v>
      </c>
      <c r="Q316" s="27">
        <v>7.8994137657582869e-002</v>
      </c>
      <c r="R316" s="28">
        <v>0.79851833411703954</v>
      </c>
    </row>
    <row r="317" s="3" customFormat="1">
      <c r="A317" s="16" t="s">
        <v>363</v>
      </c>
      <c r="B317" s="26">
        <v>201.29999999999998</v>
      </c>
      <c r="C317" s="24">
        <f t="shared" si="5"/>
        <v>516.36235647894785</v>
      </c>
      <c r="D317" s="20">
        <v>3.58119190814781e-002</v>
      </c>
      <c r="E317" s="20" t="s">
        <v>314</v>
      </c>
      <c r="F317" s="25" t="s">
        <v>345</v>
      </c>
      <c r="G317" s="21" t="s">
        <v>359</v>
      </c>
      <c r="H317" s="21" t="s">
        <v>360</v>
      </c>
      <c r="I317" s="16">
        <v>52</v>
      </c>
      <c r="J317" s="16">
        <v>158</v>
      </c>
      <c r="K317" s="16" t="s">
        <v>207</v>
      </c>
      <c r="L317" s="26">
        <v>2.677</v>
      </c>
      <c r="M317" s="26">
        <v>-5.6189999999999998</v>
      </c>
      <c r="N317" s="26"/>
      <c r="O317" s="26"/>
      <c r="P317" s="26"/>
      <c r="Q317" s="20"/>
      <c r="R317" s="24"/>
    </row>
    <row r="318" s="3" customFormat="1">
      <c r="A318" s="16" t="s">
        <v>364</v>
      </c>
      <c r="B318" s="26">
        <v>200.69999999999999</v>
      </c>
      <c r="C318" s="24">
        <f t="shared" si="5"/>
        <v>516.38384363039677</v>
      </c>
      <c r="D318" s="20">
        <v>3.58119190814781e-002</v>
      </c>
      <c r="E318" s="20" t="s">
        <v>314</v>
      </c>
      <c r="F318" s="25" t="s">
        <v>345</v>
      </c>
      <c r="G318" s="21" t="s">
        <v>359</v>
      </c>
      <c r="H318" s="21" t="s">
        <v>360</v>
      </c>
      <c r="I318" s="16">
        <v>52</v>
      </c>
      <c r="J318" s="16">
        <v>158</v>
      </c>
      <c r="K318" s="16" t="s">
        <v>207</v>
      </c>
      <c r="L318" s="26">
        <v>2.754</v>
      </c>
      <c r="M318" s="26">
        <v>-5.1390000000000002</v>
      </c>
      <c r="N318" s="26">
        <v>33.939999999999998</v>
      </c>
      <c r="O318" s="26">
        <v>42.104595670000002</v>
      </c>
      <c r="P318" s="23">
        <v>77.215768499999996</v>
      </c>
      <c r="Q318" s="27">
        <v>1.8085189021232524e-002</v>
      </c>
      <c r="R318" s="28">
        <v>0.8110933584935891</v>
      </c>
    </row>
    <row r="319" s="3" customFormat="1">
      <c r="A319" s="16" t="s">
        <v>365</v>
      </c>
      <c r="B319" s="16">
        <v>199.69999999999999</v>
      </c>
      <c r="C319" s="24">
        <f t="shared" si="5"/>
        <v>516.41965554947819</v>
      </c>
      <c r="D319" s="20">
        <v>3.58119190814781e-002</v>
      </c>
      <c r="E319" s="20" t="s">
        <v>314</v>
      </c>
      <c r="F319" s="25" t="s">
        <v>345</v>
      </c>
      <c r="G319" s="21" t="s">
        <v>359</v>
      </c>
      <c r="H319" s="21" t="s">
        <v>360</v>
      </c>
      <c r="I319" s="16">
        <v>52</v>
      </c>
      <c r="J319" s="16">
        <v>158</v>
      </c>
      <c r="K319" s="16" t="s">
        <v>207</v>
      </c>
      <c r="L319" s="26">
        <v>3.1000000000000001</v>
      </c>
      <c r="M319" s="26"/>
      <c r="N319" s="26"/>
      <c r="O319" s="26"/>
      <c r="P319" s="26"/>
      <c r="Q319" s="20"/>
      <c r="R319" s="24"/>
    </row>
    <row r="320" s="3" customFormat="1">
      <c r="A320" s="16" t="s">
        <v>366</v>
      </c>
      <c r="B320" s="16">
        <v>198.69999999999999</v>
      </c>
      <c r="C320" s="24">
        <f t="shared" si="5"/>
        <v>516.45546746855962</v>
      </c>
      <c r="D320" s="20">
        <v>3.58119190814781e-002</v>
      </c>
      <c r="E320" s="20" t="s">
        <v>314</v>
      </c>
      <c r="F320" s="25" t="s">
        <v>345</v>
      </c>
      <c r="G320" s="21" t="s">
        <v>359</v>
      </c>
      <c r="H320" s="21" t="s">
        <v>360</v>
      </c>
      <c r="I320" s="16">
        <v>52</v>
      </c>
      <c r="J320" s="16">
        <v>158</v>
      </c>
      <c r="K320" s="16" t="s">
        <v>207</v>
      </c>
      <c r="L320" s="26">
        <v>3.0099999999999998</v>
      </c>
      <c r="M320" s="26"/>
      <c r="N320" s="26"/>
      <c r="O320" s="26"/>
      <c r="P320" s="26"/>
      <c r="Q320" s="20"/>
      <c r="R320" s="24"/>
    </row>
    <row r="321" s="3" customFormat="1">
      <c r="A321" s="16" t="s">
        <v>367</v>
      </c>
      <c r="B321" s="16">
        <v>197.69999999999999</v>
      </c>
      <c r="C321" s="24">
        <f t="shared" si="5"/>
        <v>516.49127938764104</v>
      </c>
      <c r="D321" s="20">
        <v>3.58119190814781e-002</v>
      </c>
      <c r="E321" s="20" t="s">
        <v>314</v>
      </c>
      <c r="F321" s="25" t="s">
        <v>345</v>
      </c>
      <c r="G321" s="21" t="s">
        <v>359</v>
      </c>
      <c r="H321" s="21" t="s">
        <v>360</v>
      </c>
      <c r="I321" s="16">
        <v>52</v>
      </c>
      <c r="J321" s="16">
        <v>158</v>
      </c>
      <c r="K321" s="16" t="s">
        <v>207</v>
      </c>
      <c r="L321" s="26">
        <v>3.1899999999999999</v>
      </c>
      <c r="M321" s="26"/>
      <c r="N321" s="26"/>
      <c r="O321" s="26"/>
      <c r="P321" s="26"/>
      <c r="Q321" s="20"/>
      <c r="R321" s="24"/>
    </row>
    <row r="322" s="3" customFormat="1">
      <c r="A322" s="16" t="s">
        <v>368</v>
      </c>
      <c r="B322" s="16">
        <v>193.69999999999999</v>
      </c>
      <c r="C322" s="24">
        <f t="shared" si="5"/>
        <v>516.63452706396697</v>
      </c>
      <c r="D322" s="20">
        <v>3.58119190814781e-002</v>
      </c>
      <c r="E322" s="20" t="s">
        <v>314</v>
      </c>
      <c r="F322" s="25" t="s">
        <v>345</v>
      </c>
      <c r="G322" s="21" t="s">
        <v>359</v>
      </c>
      <c r="H322" s="21" t="s">
        <v>360</v>
      </c>
      <c r="I322" s="16">
        <v>52</v>
      </c>
      <c r="J322" s="16">
        <v>158</v>
      </c>
      <c r="K322" s="16" t="s">
        <v>207</v>
      </c>
      <c r="L322" s="26">
        <v>2.8799999999999999</v>
      </c>
      <c r="M322" s="26"/>
      <c r="N322" s="26"/>
      <c r="O322" s="26"/>
      <c r="P322" s="26"/>
      <c r="Q322" s="20"/>
      <c r="R322" s="24"/>
    </row>
    <row r="323" s="3" customFormat="1">
      <c r="A323" s="16" t="s">
        <v>369</v>
      </c>
      <c r="B323" s="16">
        <v>192.69999999999999</v>
      </c>
      <c r="C323" s="24">
        <f t="shared" si="5"/>
        <v>516.6703389830484</v>
      </c>
      <c r="D323" s="20">
        <v>3.58119190814781e-002</v>
      </c>
      <c r="E323" s="20" t="s">
        <v>314</v>
      </c>
      <c r="F323" s="25" t="s">
        <v>345</v>
      </c>
      <c r="G323" s="21" t="s">
        <v>359</v>
      </c>
      <c r="H323" s="21" t="s">
        <v>360</v>
      </c>
      <c r="I323" s="16">
        <v>52</v>
      </c>
      <c r="J323" s="16">
        <v>158</v>
      </c>
      <c r="K323" s="16" t="s">
        <v>207</v>
      </c>
      <c r="L323" s="26">
        <v>2.8900000000000001</v>
      </c>
      <c r="M323" s="26"/>
      <c r="N323" s="26"/>
      <c r="O323" s="26"/>
      <c r="P323" s="26"/>
      <c r="Q323" s="20"/>
      <c r="R323" s="24"/>
    </row>
    <row r="324" s="3" customFormat="1">
      <c r="A324" s="16" t="s">
        <v>370</v>
      </c>
      <c r="B324" s="16">
        <v>191.69999999999999</v>
      </c>
      <c r="C324" s="24">
        <f t="shared" si="5"/>
        <v>516.70615090212982</v>
      </c>
      <c r="D324" s="20">
        <v>3.58119190814781e-002</v>
      </c>
      <c r="E324" s="20" t="s">
        <v>314</v>
      </c>
      <c r="F324" s="25" t="s">
        <v>345</v>
      </c>
      <c r="G324" s="21" t="s">
        <v>359</v>
      </c>
      <c r="H324" s="21" t="s">
        <v>360</v>
      </c>
      <c r="I324" s="16">
        <v>52</v>
      </c>
      <c r="J324" s="16">
        <v>158</v>
      </c>
      <c r="K324" s="16" t="s">
        <v>207</v>
      </c>
      <c r="L324" s="26">
        <v>2.6299999999999999</v>
      </c>
      <c r="M324" s="26"/>
      <c r="N324" s="26"/>
      <c r="O324" s="26"/>
      <c r="P324" s="26"/>
      <c r="Q324" s="20"/>
      <c r="R324" s="24"/>
    </row>
    <row r="325" s="3" customFormat="1">
      <c r="A325" s="16" t="s">
        <v>371</v>
      </c>
      <c r="B325" s="16">
        <v>190.69999999999999</v>
      </c>
      <c r="C325" s="24">
        <f t="shared" si="5"/>
        <v>516.74196282121125</v>
      </c>
      <c r="D325" s="20">
        <v>3.58119190814781e-002</v>
      </c>
      <c r="E325" s="20" t="s">
        <v>314</v>
      </c>
      <c r="F325" s="25" t="s">
        <v>345</v>
      </c>
      <c r="G325" s="21" t="s">
        <v>359</v>
      </c>
      <c r="H325" s="21" t="s">
        <v>360</v>
      </c>
      <c r="I325" s="16">
        <v>52</v>
      </c>
      <c r="J325" s="16">
        <v>158</v>
      </c>
      <c r="K325" s="16" t="s">
        <v>207</v>
      </c>
      <c r="L325" s="26">
        <v>2.4199999999999999</v>
      </c>
      <c r="M325" s="26"/>
      <c r="N325" s="26"/>
      <c r="O325" s="26"/>
      <c r="P325" s="26"/>
      <c r="Q325" s="20"/>
      <c r="R325" s="24"/>
    </row>
    <row r="326" s="3" customFormat="1">
      <c r="A326" s="16" t="s">
        <v>372</v>
      </c>
      <c r="B326" s="16">
        <v>189.69999999999999</v>
      </c>
      <c r="C326" s="24">
        <f t="shared" ref="C326:C389" si="6">C325+(B325-B326)*D326</f>
        <v>516.77777474029267</v>
      </c>
      <c r="D326" s="20">
        <v>3.58119190814781e-002</v>
      </c>
      <c r="E326" s="20" t="s">
        <v>314</v>
      </c>
      <c r="F326" s="25" t="s">
        <v>345</v>
      </c>
      <c r="G326" s="21" t="s">
        <v>359</v>
      </c>
      <c r="H326" s="21" t="s">
        <v>360</v>
      </c>
      <c r="I326" s="16">
        <v>52</v>
      </c>
      <c r="J326" s="16">
        <v>158</v>
      </c>
      <c r="K326" s="16" t="s">
        <v>207</v>
      </c>
      <c r="L326" s="26">
        <v>2.2799999999999998</v>
      </c>
      <c r="M326" s="26"/>
      <c r="N326" s="26"/>
      <c r="O326" s="26"/>
      <c r="P326" s="26"/>
      <c r="Q326" s="20"/>
      <c r="R326" s="24"/>
    </row>
    <row r="327" s="3" customFormat="1">
      <c r="A327" s="16" t="s">
        <v>373</v>
      </c>
      <c r="B327" s="16">
        <v>188.69999999999999</v>
      </c>
      <c r="C327" s="24">
        <f t="shared" si="6"/>
        <v>516.8135866593741</v>
      </c>
      <c r="D327" s="20">
        <v>3.58119190814781e-002</v>
      </c>
      <c r="E327" s="20" t="s">
        <v>314</v>
      </c>
      <c r="F327" s="25" t="s">
        <v>345</v>
      </c>
      <c r="G327" s="21" t="s">
        <v>359</v>
      </c>
      <c r="H327" s="21" t="s">
        <v>360</v>
      </c>
      <c r="I327" s="16">
        <v>52</v>
      </c>
      <c r="J327" s="16">
        <v>158</v>
      </c>
      <c r="K327" s="16" t="s">
        <v>207</v>
      </c>
      <c r="L327" s="26">
        <v>2.02</v>
      </c>
      <c r="M327" s="26"/>
      <c r="N327" s="26"/>
      <c r="O327" s="26"/>
      <c r="P327" s="26"/>
      <c r="Q327" s="20"/>
      <c r="R327" s="24"/>
    </row>
    <row r="328" s="3" customFormat="1">
      <c r="A328" s="16" t="s">
        <v>374</v>
      </c>
      <c r="B328" s="16">
        <v>187.69999999999999</v>
      </c>
      <c r="C328" s="24">
        <f t="shared" si="6"/>
        <v>516.84939857845552</v>
      </c>
      <c r="D328" s="20">
        <v>3.58119190814781e-002</v>
      </c>
      <c r="E328" s="20" t="s">
        <v>314</v>
      </c>
      <c r="F328" s="25" t="s">
        <v>345</v>
      </c>
      <c r="G328" s="21" t="s">
        <v>359</v>
      </c>
      <c r="H328" s="21" t="s">
        <v>360</v>
      </c>
      <c r="I328" s="16">
        <v>52</v>
      </c>
      <c r="J328" s="16">
        <v>158</v>
      </c>
      <c r="K328" s="16" t="s">
        <v>207</v>
      </c>
      <c r="L328" s="26">
        <v>1.8500000000000001</v>
      </c>
      <c r="M328" s="26"/>
      <c r="N328" s="26"/>
      <c r="O328" s="26"/>
      <c r="P328" s="26"/>
      <c r="Q328" s="20"/>
      <c r="R328" s="24"/>
    </row>
    <row r="329" s="3" customFormat="1">
      <c r="A329" s="16" t="s">
        <v>375</v>
      </c>
      <c r="B329" s="16">
        <v>186.69999999999999</v>
      </c>
      <c r="C329" s="24">
        <f t="shared" si="6"/>
        <v>516.88521049753695</v>
      </c>
      <c r="D329" s="20">
        <v>3.58119190814781e-002</v>
      </c>
      <c r="E329" s="20" t="s">
        <v>314</v>
      </c>
      <c r="F329" s="25" t="s">
        <v>345</v>
      </c>
      <c r="G329" s="21" t="s">
        <v>359</v>
      </c>
      <c r="H329" s="21" t="s">
        <v>360</v>
      </c>
      <c r="I329" s="16">
        <v>52</v>
      </c>
      <c r="J329" s="16">
        <v>158</v>
      </c>
      <c r="K329" s="16" t="s">
        <v>207</v>
      </c>
      <c r="L329" s="26">
        <v>1.6399999999999999</v>
      </c>
      <c r="M329" s="26"/>
      <c r="N329" s="26"/>
      <c r="O329" s="26"/>
      <c r="P329" s="26"/>
      <c r="Q329" s="20"/>
      <c r="R329" s="24"/>
    </row>
    <row r="330" s="3" customFormat="1">
      <c r="A330" s="16" t="s">
        <v>376</v>
      </c>
      <c r="B330" s="16">
        <v>185.69999999999999</v>
      </c>
      <c r="C330" s="24">
        <f t="shared" si="6"/>
        <v>516.92102241661837</v>
      </c>
      <c r="D330" s="20">
        <v>3.58119190814781e-002</v>
      </c>
      <c r="E330" s="20" t="s">
        <v>314</v>
      </c>
      <c r="F330" s="25" t="s">
        <v>345</v>
      </c>
      <c r="G330" s="21" t="s">
        <v>359</v>
      </c>
      <c r="H330" s="21" t="s">
        <v>360</v>
      </c>
      <c r="I330" s="16">
        <v>52</v>
      </c>
      <c r="J330" s="16">
        <v>158</v>
      </c>
      <c r="K330" s="16" t="s">
        <v>207</v>
      </c>
      <c r="L330" s="26">
        <v>1.6799999999999999</v>
      </c>
      <c r="M330" s="26"/>
      <c r="N330" s="26"/>
      <c r="O330" s="26"/>
      <c r="P330" s="26"/>
      <c r="Q330" s="20"/>
      <c r="R330" s="24"/>
    </row>
    <row r="331" s="3" customFormat="1">
      <c r="A331" s="16" t="s">
        <v>377</v>
      </c>
      <c r="B331" s="16">
        <v>184.69999999999999</v>
      </c>
      <c r="C331" s="24">
        <f t="shared" si="6"/>
        <v>516.9568343356998</v>
      </c>
      <c r="D331" s="20">
        <v>3.58119190814781e-002</v>
      </c>
      <c r="E331" s="20" t="s">
        <v>314</v>
      </c>
      <c r="F331" s="25" t="s">
        <v>345</v>
      </c>
      <c r="G331" s="21" t="s">
        <v>359</v>
      </c>
      <c r="H331" s="21" t="s">
        <v>360</v>
      </c>
      <c r="I331" s="16">
        <v>52</v>
      </c>
      <c r="J331" s="16">
        <v>158</v>
      </c>
      <c r="K331" s="16" t="s">
        <v>207</v>
      </c>
      <c r="L331" s="26">
        <v>1.0600000000000001</v>
      </c>
      <c r="M331" s="26"/>
      <c r="N331" s="26"/>
      <c r="O331" s="26"/>
      <c r="P331" s="26"/>
      <c r="Q331" s="20"/>
      <c r="R331" s="24"/>
    </row>
    <row r="332" s="3" customFormat="1">
      <c r="A332" s="16" t="s">
        <v>378</v>
      </c>
      <c r="B332" s="16">
        <v>183.69999999999999</v>
      </c>
      <c r="C332" s="24">
        <f t="shared" si="6"/>
        <v>516.99264625478122</v>
      </c>
      <c r="D332" s="20">
        <v>3.58119190814781e-002</v>
      </c>
      <c r="E332" s="20" t="s">
        <v>314</v>
      </c>
      <c r="F332" s="25" t="s">
        <v>345</v>
      </c>
      <c r="G332" s="21" t="s">
        <v>359</v>
      </c>
      <c r="H332" s="21" t="s">
        <v>360</v>
      </c>
      <c r="I332" s="16">
        <v>52</v>
      </c>
      <c r="J332" s="16">
        <v>158</v>
      </c>
      <c r="K332" s="16" t="s">
        <v>207</v>
      </c>
      <c r="L332" s="26">
        <v>1.28</v>
      </c>
      <c r="M332" s="26"/>
      <c r="N332" s="26"/>
      <c r="O332" s="26"/>
      <c r="P332" s="26"/>
      <c r="Q332" s="20"/>
      <c r="R332" s="24"/>
    </row>
    <row r="333" s="3" customFormat="1">
      <c r="A333" s="16" t="s">
        <v>379</v>
      </c>
      <c r="B333" s="16">
        <v>182.69999999999999</v>
      </c>
      <c r="C333" s="24">
        <f t="shared" si="6"/>
        <v>517.02845817386265</v>
      </c>
      <c r="D333" s="20">
        <v>3.58119190814781e-002</v>
      </c>
      <c r="E333" s="20" t="s">
        <v>314</v>
      </c>
      <c r="F333" s="25" t="s">
        <v>345</v>
      </c>
      <c r="G333" s="21" t="s">
        <v>359</v>
      </c>
      <c r="H333" s="21" t="s">
        <v>360</v>
      </c>
      <c r="I333" s="16">
        <v>52</v>
      </c>
      <c r="J333" s="16">
        <v>158</v>
      </c>
      <c r="K333" s="16" t="s">
        <v>207</v>
      </c>
      <c r="L333" s="26">
        <v>1.1100000000000001</v>
      </c>
      <c r="M333" s="26"/>
      <c r="N333" s="26"/>
      <c r="O333" s="26"/>
      <c r="P333" s="26"/>
      <c r="Q333" s="20"/>
      <c r="R333" s="24"/>
    </row>
    <row r="334" s="3" customFormat="1">
      <c r="A334" s="16" t="s">
        <v>380</v>
      </c>
      <c r="B334" s="16">
        <v>181.69999999999999</v>
      </c>
      <c r="C334" s="24">
        <f t="shared" si="6"/>
        <v>517.06427009294407</v>
      </c>
      <c r="D334" s="20">
        <v>3.58119190814781e-002</v>
      </c>
      <c r="E334" s="20" t="s">
        <v>314</v>
      </c>
      <c r="F334" s="25" t="s">
        <v>345</v>
      </c>
      <c r="G334" s="21" t="s">
        <v>359</v>
      </c>
      <c r="H334" s="21" t="s">
        <v>360</v>
      </c>
      <c r="I334" s="16">
        <v>52</v>
      </c>
      <c r="J334" s="16">
        <v>158</v>
      </c>
      <c r="K334" s="16" t="s">
        <v>207</v>
      </c>
      <c r="L334" s="26">
        <v>1.22</v>
      </c>
      <c r="M334" s="26"/>
      <c r="N334" s="26"/>
      <c r="O334" s="26"/>
      <c r="P334" s="26"/>
      <c r="Q334" s="20"/>
      <c r="R334" s="24"/>
    </row>
    <row r="335" s="3" customFormat="1">
      <c r="A335" s="16" t="s">
        <v>381</v>
      </c>
      <c r="B335" s="16">
        <v>180.69999999999999</v>
      </c>
      <c r="C335" s="24">
        <f t="shared" si="6"/>
        <v>517.1000820120255</v>
      </c>
      <c r="D335" s="20">
        <v>3.58119190814781e-002</v>
      </c>
      <c r="E335" s="20" t="s">
        <v>314</v>
      </c>
      <c r="F335" s="25" t="s">
        <v>345</v>
      </c>
      <c r="G335" s="21" t="s">
        <v>359</v>
      </c>
      <c r="H335" s="21" t="s">
        <v>360</v>
      </c>
      <c r="I335" s="16">
        <v>52</v>
      </c>
      <c r="J335" s="16">
        <v>158</v>
      </c>
      <c r="K335" s="16" t="s">
        <v>207</v>
      </c>
      <c r="L335" s="26">
        <v>1.1499999999999999</v>
      </c>
      <c r="M335" s="26"/>
      <c r="N335" s="26"/>
      <c r="O335" s="26"/>
      <c r="P335" s="26"/>
      <c r="Q335" s="20"/>
      <c r="R335" s="24"/>
    </row>
    <row r="336" s="3" customFormat="1">
      <c r="A336" s="16" t="s">
        <v>382</v>
      </c>
      <c r="B336" s="16">
        <v>179.69999999999999</v>
      </c>
      <c r="C336" s="24">
        <f t="shared" si="6"/>
        <v>517.13589393110692</v>
      </c>
      <c r="D336" s="20">
        <v>3.58119190814781e-002</v>
      </c>
      <c r="E336" s="20" t="s">
        <v>314</v>
      </c>
      <c r="F336" s="25" t="s">
        <v>345</v>
      </c>
      <c r="G336" s="21" t="s">
        <v>359</v>
      </c>
      <c r="H336" s="21" t="s">
        <v>360</v>
      </c>
      <c r="I336" s="16">
        <v>52</v>
      </c>
      <c r="J336" s="16">
        <v>158</v>
      </c>
      <c r="K336" s="16" t="s">
        <v>207</v>
      </c>
      <c r="L336" s="26">
        <v>1.04</v>
      </c>
      <c r="M336" s="26"/>
      <c r="N336" s="26"/>
      <c r="O336" s="26"/>
      <c r="P336" s="26"/>
      <c r="Q336" s="20"/>
      <c r="R336" s="24"/>
    </row>
    <row r="337" s="3" customFormat="1">
      <c r="A337" s="16" t="s">
        <v>383</v>
      </c>
      <c r="B337" s="16">
        <v>178.69999999999999</v>
      </c>
      <c r="C337" s="24">
        <f t="shared" si="6"/>
        <v>517.17170585018835</v>
      </c>
      <c r="D337" s="20">
        <v>3.58119190814781e-002</v>
      </c>
      <c r="E337" s="20" t="s">
        <v>314</v>
      </c>
      <c r="F337" s="25" t="s">
        <v>345</v>
      </c>
      <c r="G337" s="21" t="s">
        <v>359</v>
      </c>
      <c r="H337" s="21" t="s">
        <v>360</v>
      </c>
      <c r="I337" s="16">
        <v>52</v>
      </c>
      <c r="J337" s="16">
        <v>158</v>
      </c>
      <c r="K337" s="16" t="s">
        <v>207</v>
      </c>
      <c r="L337" s="26">
        <v>1.01</v>
      </c>
      <c r="M337" s="26"/>
      <c r="N337" s="26"/>
      <c r="O337" s="26"/>
      <c r="P337" s="26"/>
      <c r="Q337" s="20"/>
      <c r="R337" s="24"/>
    </row>
    <row r="338" s="3" customFormat="1">
      <c r="A338" s="16" t="s">
        <v>384</v>
      </c>
      <c r="B338" s="16">
        <v>177.69999999999999</v>
      </c>
      <c r="C338" s="24">
        <f t="shared" si="6"/>
        <v>517.20751776926977</v>
      </c>
      <c r="D338" s="20">
        <v>3.58119190814781e-002</v>
      </c>
      <c r="E338" s="20" t="s">
        <v>314</v>
      </c>
      <c r="F338" s="25" t="s">
        <v>345</v>
      </c>
      <c r="G338" s="21" t="s">
        <v>359</v>
      </c>
      <c r="H338" s="21" t="s">
        <v>360</v>
      </c>
      <c r="I338" s="16">
        <v>52</v>
      </c>
      <c r="J338" s="16">
        <v>158</v>
      </c>
      <c r="K338" s="16" t="s">
        <v>207</v>
      </c>
      <c r="L338" s="26">
        <v>1.3899999999999999</v>
      </c>
      <c r="M338" s="26"/>
      <c r="N338" s="26"/>
      <c r="O338" s="26"/>
      <c r="P338" s="26"/>
      <c r="Q338" s="20"/>
      <c r="R338" s="24"/>
    </row>
    <row r="339" s="3" customFormat="1">
      <c r="A339" s="16" t="s">
        <v>385</v>
      </c>
      <c r="B339" s="16">
        <v>176.69999999999999</v>
      </c>
      <c r="C339" s="24">
        <f t="shared" si="6"/>
        <v>517.2433296883512</v>
      </c>
      <c r="D339" s="20">
        <v>3.58119190814781e-002</v>
      </c>
      <c r="E339" s="20" t="s">
        <v>314</v>
      </c>
      <c r="F339" s="25" t="s">
        <v>345</v>
      </c>
      <c r="G339" s="21" t="s">
        <v>359</v>
      </c>
      <c r="H339" s="21" t="s">
        <v>360</v>
      </c>
      <c r="I339" s="16">
        <v>52</v>
      </c>
      <c r="J339" s="16">
        <v>158</v>
      </c>
      <c r="K339" s="16" t="s">
        <v>207</v>
      </c>
      <c r="L339" s="26">
        <v>1.1599999999999999</v>
      </c>
      <c r="M339" s="26"/>
      <c r="N339" s="26"/>
      <c r="O339" s="26"/>
      <c r="P339" s="26"/>
      <c r="Q339" s="20"/>
      <c r="R339" s="24"/>
    </row>
    <row r="340" s="3" customFormat="1">
      <c r="A340" s="16" t="s">
        <v>386</v>
      </c>
      <c r="B340" s="16">
        <v>175.69999999999999</v>
      </c>
      <c r="C340" s="24">
        <f t="shared" si="6"/>
        <v>517.27914160743262</v>
      </c>
      <c r="D340" s="20">
        <v>3.58119190814781e-002</v>
      </c>
      <c r="E340" s="20" t="s">
        <v>314</v>
      </c>
      <c r="F340" s="25" t="s">
        <v>345</v>
      </c>
      <c r="G340" s="21" t="s">
        <v>359</v>
      </c>
      <c r="H340" s="21" t="s">
        <v>360</v>
      </c>
      <c r="I340" s="16">
        <v>52</v>
      </c>
      <c r="J340" s="16">
        <v>158</v>
      </c>
      <c r="K340" s="16" t="s">
        <v>207</v>
      </c>
      <c r="L340" s="26">
        <v>1.1100000000000001</v>
      </c>
      <c r="M340" s="26"/>
      <c r="N340" s="26"/>
      <c r="O340" s="26"/>
      <c r="P340" s="26"/>
      <c r="Q340" s="20"/>
      <c r="R340" s="24"/>
    </row>
    <row r="341" s="3" customFormat="1">
      <c r="A341" s="16" t="s">
        <v>387</v>
      </c>
      <c r="B341" s="16">
        <v>174.69999999999999</v>
      </c>
      <c r="C341" s="24">
        <f t="shared" si="6"/>
        <v>517.31495352651405</v>
      </c>
      <c r="D341" s="20">
        <v>3.58119190814781e-002</v>
      </c>
      <c r="E341" s="20" t="s">
        <v>314</v>
      </c>
      <c r="F341" s="25" t="s">
        <v>345</v>
      </c>
      <c r="G341" s="21" t="s">
        <v>359</v>
      </c>
      <c r="H341" s="21" t="s">
        <v>360</v>
      </c>
      <c r="I341" s="16">
        <v>52</v>
      </c>
      <c r="J341" s="16">
        <v>158</v>
      </c>
      <c r="K341" s="16" t="s">
        <v>207</v>
      </c>
      <c r="L341" s="26">
        <v>0.96999999999999997</v>
      </c>
      <c r="M341" s="26"/>
      <c r="N341" s="26"/>
      <c r="O341" s="26"/>
      <c r="P341" s="26"/>
      <c r="Q341" s="20"/>
      <c r="R341" s="24"/>
    </row>
    <row r="342" s="3" customFormat="1">
      <c r="A342" s="16" t="s">
        <v>388</v>
      </c>
      <c r="B342" s="16">
        <v>173.69999999999999</v>
      </c>
      <c r="C342" s="24">
        <f t="shared" si="6"/>
        <v>517.35076544559547</v>
      </c>
      <c r="D342" s="20">
        <v>3.58119190814781e-002</v>
      </c>
      <c r="E342" s="20" t="s">
        <v>314</v>
      </c>
      <c r="F342" s="25" t="s">
        <v>345</v>
      </c>
      <c r="G342" s="21" t="s">
        <v>359</v>
      </c>
      <c r="H342" s="21" t="s">
        <v>360</v>
      </c>
      <c r="I342" s="16">
        <v>52</v>
      </c>
      <c r="J342" s="16">
        <v>158</v>
      </c>
      <c r="K342" s="16" t="s">
        <v>207</v>
      </c>
      <c r="L342" s="26">
        <v>1.3899999999999999</v>
      </c>
      <c r="M342" s="26"/>
      <c r="N342" s="26"/>
      <c r="O342" s="26"/>
      <c r="P342" s="26"/>
      <c r="Q342" s="20"/>
      <c r="R342" s="24"/>
    </row>
    <row r="343" s="3" customFormat="1">
      <c r="A343" s="16" t="s">
        <v>389</v>
      </c>
      <c r="B343" s="16">
        <v>172.69999999999999</v>
      </c>
      <c r="C343" s="24">
        <f t="shared" si="6"/>
        <v>517.3865773646769</v>
      </c>
      <c r="D343" s="20">
        <v>3.58119190814781e-002</v>
      </c>
      <c r="E343" s="20" t="s">
        <v>314</v>
      </c>
      <c r="F343" s="25" t="s">
        <v>345</v>
      </c>
      <c r="G343" s="21" t="s">
        <v>359</v>
      </c>
      <c r="H343" s="21" t="s">
        <v>360</v>
      </c>
      <c r="I343" s="16">
        <v>52</v>
      </c>
      <c r="J343" s="16">
        <v>158</v>
      </c>
      <c r="K343" s="16" t="s">
        <v>207</v>
      </c>
      <c r="L343" s="26">
        <v>1.1100000000000001</v>
      </c>
      <c r="M343" s="26"/>
      <c r="N343" s="26"/>
      <c r="O343" s="26"/>
      <c r="P343" s="26"/>
      <c r="Q343" s="20"/>
      <c r="R343" s="24"/>
    </row>
    <row r="344" s="3" customFormat="1">
      <c r="A344" s="16" t="s">
        <v>390</v>
      </c>
      <c r="B344" s="16">
        <v>171.69999999999999</v>
      </c>
      <c r="C344" s="24">
        <f t="shared" si="6"/>
        <v>517.42238928375832</v>
      </c>
      <c r="D344" s="20">
        <v>3.58119190814781e-002</v>
      </c>
      <c r="E344" s="20" t="s">
        <v>314</v>
      </c>
      <c r="F344" s="25" t="s">
        <v>345</v>
      </c>
      <c r="G344" s="21" t="s">
        <v>359</v>
      </c>
      <c r="H344" s="21" t="s">
        <v>360</v>
      </c>
      <c r="I344" s="16">
        <v>52</v>
      </c>
      <c r="J344" s="16">
        <v>158</v>
      </c>
      <c r="K344" s="16" t="s">
        <v>207</v>
      </c>
      <c r="L344" s="26">
        <v>1.0900000000000001</v>
      </c>
      <c r="M344" s="26"/>
      <c r="N344" s="26"/>
      <c r="O344" s="26"/>
      <c r="P344" s="26"/>
      <c r="Q344" s="20"/>
      <c r="R344" s="24"/>
    </row>
    <row r="345" s="3" customFormat="1">
      <c r="A345" s="16" t="s">
        <v>391</v>
      </c>
      <c r="B345" s="16">
        <v>166.5</v>
      </c>
      <c r="C345" s="24">
        <f t="shared" si="6"/>
        <v>517.60861126298198</v>
      </c>
      <c r="D345" s="20">
        <v>3.58119190814781e-002</v>
      </c>
      <c r="E345" s="20" t="s">
        <v>314</v>
      </c>
      <c r="F345" s="25" t="s">
        <v>345</v>
      </c>
      <c r="G345" s="21" t="s">
        <v>359</v>
      </c>
      <c r="H345" s="21" t="s">
        <v>360</v>
      </c>
      <c r="I345" s="16">
        <v>52</v>
      </c>
      <c r="J345" s="16">
        <v>158</v>
      </c>
      <c r="K345" s="16" t="s">
        <v>207</v>
      </c>
      <c r="L345" s="26">
        <v>1.0900000000000001</v>
      </c>
      <c r="M345" s="26"/>
      <c r="N345" s="26"/>
      <c r="O345" s="26"/>
      <c r="P345" s="26"/>
      <c r="Q345" s="20"/>
      <c r="R345" s="24"/>
    </row>
    <row r="346" s="3" customFormat="1">
      <c r="A346" s="16" t="s">
        <v>392</v>
      </c>
      <c r="B346" s="16">
        <v>165.5</v>
      </c>
      <c r="C346" s="24">
        <f t="shared" si="6"/>
        <v>517.64442318206341</v>
      </c>
      <c r="D346" s="20">
        <v>3.58119190814781e-002</v>
      </c>
      <c r="E346" s="20" t="s">
        <v>314</v>
      </c>
      <c r="F346" s="25" t="s">
        <v>345</v>
      </c>
      <c r="G346" s="21" t="s">
        <v>359</v>
      </c>
      <c r="H346" s="21" t="s">
        <v>360</v>
      </c>
      <c r="I346" s="16">
        <v>52</v>
      </c>
      <c r="J346" s="16">
        <v>158</v>
      </c>
      <c r="K346" s="16" t="s">
        <v>207</v>
      </c>
      <c r="L346" s="26">
        <v>0.95999999999999996</v>
      </c>
      <c r="M346" s="26"/>
      <c r="N346" s="26"/>
      <c r="O346" s="26"/>
      <c r="P346" s="26"/>
      <c r="Q346" s="20"/>
      <c r="R346" s="24"/>
    </row>
    <row r="347" s="3" customFormat="1">
      <c r="A347" s="16" t="s">
        <v>393</v>
      </c>
      <c r="B347" s="16">
        <v>164.5</v>
      </c>
      <c r="C347" s="24">
        <f t="shared" si="6"/>
        <v>517.68023510114483</v>
      </c>
      <c r="D347" s="20">
        <v>3.58119190814781e-002</v>
      </c>
      <c r="E347" s="20" t="s">
        <v>314</v>
      </c>
      <c r="F347" s="25" t="s">
        <v>345</v>
      </c>
      <c r="G347" s="21" t="s">
        <v>359</v>
      </c>
      <c r="H347" s="21" t="s">
        <v>360</v>
      </c>
      <c r="I347" s="16">
        <v>52</v>
      </c>
      <c r="J347" s="16">
        <v>158</v>
      </c>
      <c r="K347" s="16" t="s">
        <v>207</v>
      </c>
      <c r="L347" s="26">
        <v>1.03</v>
      </c>
      <c r="M347" s="26"/>
      <c r="N347" s="26"/>
      <c r="O347" s="26"/>
      <c r="P347" s="26"/>
      <c r="Q347" s="20"/>
      <c r="R347" s="24"/>
    </row>
    <row r="348" s="3" customFormat="1">
      <c r="A348" s="16" t="s">
        <v>394</v>
      </c>
      <c r="B348" s="16">
        <v>163.5</v>
      </c>
      <c r="C348" s="24">
        <f t="shared" si="6"/>
        <v>517.71604702022626</v>
      </c>
      <c r="D348" s="20">
        <v>3.58119190814781e-002</v>
      </c>
      <c r="E348" s="20" t="s">
        <v>314</v>
      </c>
      <c r="F348" s="25" t="s">
        <v>345</v>
      </c>
      <c r="G348" s="21" t="s">
        <v>359</v>
      </c>
      <c r="H348" s="21" t="s">
        <v>360</v>
      </c>
      <c r="I348" s="16">
        <v>52</v>
      </c>
      <c r="J348" s="16">
        <v>158</v>
      </c>
      <c r="K348" s="16" t="s">
        <v>207</v>
      </c>
      <c r="L348" s="26">
        <v>0.96999999999999997</v>
      </c>
      <c r="M348" s="26"/>
      <c r="N348" s="26"/>
      <c r="O348" s="26"/>
      <c r="P348" s="26"/>
      <c r="Q348" s="20"/>
      <c r="R348" s="24"/>
    </row>
    <row r="349" s="3" customFormat="1">
      <c r="A349" s="16" t="s">
        <v>395</v>
      </c>
      <c r="B349" s="16">
        <v>162.5</v>
      </c>
      <c r="C349" s="24">
        <f t="shared" si="6"/>
        <v>517.75185893930768</v>
      </c>
      <c r="D349" s="20">
        <v>3.58119190814781e-002</v>
      </c>
      <c r="E349" s="20" t="s">
        <v>314</v>
      </c>
      <c r="F349" s="25" t="s">
        <v>345</v>
      </c>
      <c r="G349" s="21" t="s">
        <v>359</v>
      </c>
      <c r="H349" s="21" t="s">
        <v>360</v>
      </c>
      <c r="I349" s="16">
        <v>52</v>
      </c>
      <c r="J349" s="16">
        <v>158</v>
      </c>
      <c r="K349" s="16" t="s">
        <v>207</v>
      </c>
      <c r="L349" s="26">
        <v>0.77000000000000002</v>
      </c>
      <c r="M349" s="26"/>
      <c r="N349" s="26"/>
      <c r="O349" s="26"/>
      <c r="P349" s="26"/>
      <c r="Q349" s="20"/>
      <c r="R349" s="24"/>
    </row>
    <row r="350" s="3" customFormat="1">
      <c r="A350" s="16" t="s">
        <v>396</v>
      </c>
      <c r="B350" s="16">
        <v>161.5</v>
      </c>
      <c r="C350" s="24">
        <f t="shared" si="6"/>
        <v>517.78767085838911</v>
      </c>
      <c r="D350" s="20">
        <v>3.58119190814781e-002</v>
      </c>
      <c r="E350" s="20" t="s">
        <v>314</v>
      </c>
      <c r="F350" s="25" t="s">
        <v>345</v>
      </c>
      <c r="G350" s="21" t="s">
        <v>359</v>
      </c>
      <c r="H350" s="21" t="s">
        <v>360</v>
      </c>
      <c r="I350" s="16">
        <v>52</v>
      </c>
      <c r="J350" s="16">
        <v>158</v>
      </c>
      <c r="K350" s="16" t="s">
        <v>207</v>
      </c>
      <c r="L350" s="26">
        <v>0.68000000000000005</v>
      </c>
      <c r="M350" s="26"/>
      <c r="N350" s="26"/>
      <c r="O350" s="26"/>
      <c r="P350" s="26"/>
      <c r="Q350" s="20"/>
      <c r="R350" s="24"/>
    </row>
    <row r="351" s="3" customFormat="1">
      <c r="A351" s="16" t="s">
        <v>397</v>
      </c>
      <c r="B351" s="16">
        <v>159</v>
      </c>
      <c r="C351" s="24">
        <f t="shared" si="6"/>
        <v>517.87720065609278</v>
      </c>
      <c r="D351" s="20">
        <v>3.58119190814781e-002</v>
      </c>
      <c r="E351" s="20" t="s">
        <v>314</v>
      </c>
      <c r="F351" s="25" t="s">
        <v>345</v>
      </c>
      <c r="G351" s="21" t="s">
        <v>359</v>
      </c>
      <c r="H351" s="21" t="s">
        <v>360</v>
      </c>
      <c r="I351" s="16">
        <v>52</v>
      </c>
      <c r="J351" s="16">
        <v>158</v>
      </c>
      <c r="K351" s="16" t="s">
        <v>207</v>
      </c>
      <c r="L351" s="26">
        <v>0.93000000000000005</v>
      </c>
      <c r="M351" s="26"/>
      <c r="N351" s="26"/>
      <c r="O351" s="26"/>
      <c r="P351" s="26"/>
      <c r="Q351" s="20"/>
      <c r="R351" s="24"/>
    </row>
    <row r="352" s="3" customFormat="1">
      <c r="A352" s="16" t="s">
        <v>398</v>
      </c>
      <c r="B352" s="16">
        <v>158</v>
      </c>
      <c r="C352" s="24">
        <f t="shared" si="6"/>
        <v>517.91301257517421</v>
      </c>
      <c r="D352" s="20">
        <v>3.58119190814781e-002</v>
      </c>
      <c r="E352" s="20" t="s">
        <v>314</v>
      </c>
      <c r="F352" s="25" t="s">
        <v>345</v>
      </c>
      <c r="G352" s="21" t="s">
        <v>359</v>
      </c>
      <c r="H352" s="21" t="s">
        <v>360</v>
      </c>
      <c r="I352" s="16">
        <v>52</v>
      </c>
      <c r="J352" s="16">
        <v>158</v>
      </c>
      <c r="K352" s="16" t="s">
        <v>207</v>
      </c>
      <c r="L352" s="26">
        <v>0.83999999999999997</v>
      </c>
      <c r="M352" s="26"/>
      <c r="N352" s="26"/>
      <c r="O352" s="26"/>
      <c r="P352" s="26"/>
      <c r="Q352" s="20"/>
      <c r="R352" s="24"/>
    </row>
    <row r="353" s="3" customFormat="1">
      <c r="A353" s="16" t="s">
        <v>399</v>
      </c>
      <c r="B353" s="16">
        <v>157</v>
      </c>
      <c r="C353" s="24">
        <f t="shared" si="6"/>
        <v>517.94882449425563</v>
      </c>
      <c r="D353" s="20">
        <v>3.58119190814781e-002</v>
      </c>
      <c r="E353" s="20" t="s">
        <v>314</v>
      </c>
      <c r="F353" s="25" t="s">
        <v>345</v>
      </c>
      <c r="G353" s="21" t="s">
        <v>359</v>
      </c>
      <c r="H353" s="21" t="s">
        <v>360</v>
      </c>
      <c r="I353" s="16">
        <v>52</v>
      </c>
      <c r="J353" s="16">
        <v>158</v>
      </c>
      <c r="K353" s="16" t="s">
        <v>207</v>
      </c>
      <c r="L353" s="26">
        <v>0.92000000000000004</v>
      </c>
      <c r="M353" s="26"/>
      <c r="N353" s="26"/>
      <c r="O353" s="26"/>
      <c r="P353" s="26"/>
      <c r="Q353" s="20"/>
      <c r="R353" s="24"/>
    </row>
    <row r="354" s="3" customFormat="1">
      <c r="A354" s="16" t="s">
        <v>400</v>
      </c>
      <c r="B354" s="16">
        <v>156</v>
      </c>
      <c r="C354" s="24">
        <f t="shared" si="6"/>
        <v>517.98463641333706</v>
      </c>
      <c r="D354" s="20">
        <v>3.58119190814781e-002</v>
      </c>
      <c r="E354" s="20" t="s">
        <v>314</v>
      </c>
      <c r="F354" s="25" t="s">
        <v>345</v>
      </c>
      <c r="G354" s="21" t="s">
        <v>359</v>
      </c>
      <c r="H354" s="21" t="s">
        <v>360</v>
      </c>
      <c r="I354" s="16">
        <v>52</v>
      </c>
      <c r="J354" s="16">
        <v>158</v>
      </c>
      <c r="K354" s="16" t="s">
        <v>207</v>
      </c>
      <c r="L354" s="26">
        <v>0.72999999999999998</v>
      </c>
      <c r="M354" s="26"/>
      <c r="N354" s="26"/>
      <c r="O354" s="26"/>
      <c r="P354" s="26"/>
      <c r="Q354" s="20"/>
      <c r="R354" s="24"/>
    </row>
    <row r="355" s="3" customFormat="1">
      <c r="A355" s="16" t="s">
        <v>401</v>
      </c>
      <c r="B355" s="16">
        <v>154</v>
      </c>
      <c r="C355" s="24">
        <f t="shared" si="6"/>
        <v>518.05626025150002</v>
      </c>
      <c r="D355" s="20">
        <v>3.58119190814781e-002</v>
      </c>
      <c r="E355" s="20" t="s">
        <v>314</v>
      </c>
      <c r="F355" s="25" t="s">
        <v>345</v>
      </c>
      <c r="G355" s="21" t="s">
        <v>359</v>
      </c>
      <c r="H355" s="21" t="s">
        <v>360</v>
      </c>
      <c r="I355" s="16">
        <v>52</v>
      </c>
      <c r="J355" s="16">
        <v>158</v>
      </c>
      <c r="K355" s="16" t="s">
        <v>207</v>
      </c>
      <c r="L355" s="26">
        <v>-1.e-002</v>
      </c>
      <c r="M355" s="26"/>
      <c r="N355" s="26"/>
      <c r="O355" s="26"/>
      <c r="P355" s="26"/>
      <c r="Q355" s="20"/>
      <c r="R355" s="24"/>
    </row>
    <row r="356" s="3" customFormat="1">
      <c r="A356" s="16" t="s">
        <v>402</v>
      </c>
      <c r="B356" s="16">
        <v>151.5</v>
      </c>
      <c r="C356" s="24">
        <f t="shared" si="6"/>
        <v>518.1457900492037</v>
      </c>
      <c r="D356" s="20">
        <v>3.58119190814781e-002</v>
      </c>
      <c r="E356" s="20" t="s">
        <v>314</v>
      </c>
      <c r="F356" s="25" t="s">
        <v>345</v>
      </c>
      <c r="G356" s="21" t="s">
        <v>359</v>
      </c>
      <c r="H356" s="21" t="s">
        <v>360</v>
      </c>
      <c r="I356" s="16">
        <v>52</v>
      </c>
      <c r="J356" s="16">
        <v>158</v>
      </c>
      <c r="K356" s="16" t="s">
        <v>207</v>
      </c>
      <c r="L356" s="26">
        <v>-0.5</v>
      </c>
      <c r="M356" s="26"/>
      <c r="N356" s="26"/>
      <c r="O356" s="26"/>
      <c r="P356" s="26"/>
      <c r="Q356" s="20"/>
      <c r="R356" s="24"/>
    </row>
    <row r="357" s="3" customFormat="1">
      <c r="A357" s="16" t="s">
        <v>403</v>
      </c>
      <c r="B357" s="16">
        <v>150</v>
      </c>
      <c r="C357" s="24">
        <f t="shared" si="6"/>
        <v>518.19950792782595</v>
      </c>
      <c r="D357" s="20">
        <v>3.58119190814781e-002</v>
      </c>
      <c r="E357" s="20" t="s">
        <v>314</v>
      </c>
      <c r="F357" s="25" t="s">
        <v>345</v>
      </c>
      <c r="G357" s="21" t="s">
        <v>359</v>
      </c>
      <c r="H357" s="21" t="s">
        <v>360</v>
      </c>
      <c r="I357" s="16">
        <v>52</v>
      </c>
      <c r="J357" s="16">
        <v>158</v>
      </c>
      <c r="K357" s="16" t="s">
        <v>207</v>
      </c>
      <c r="L357" s="26">
        <v>-5.0000000000000003e-002</v>
      </c>
      <c r="M357" s="26"/>
      <c r="N357" s="26"/>
      <c r="O357" s="26"/>
      <c r="P357" s="26"/>
      <c r="Q357" s="20"/>
      <c r="R357" s="24"/>
    </row>
    <row r="358" s="3" customFormat="1">
      <c r="A358" s="16" t="s">
        <v>404</v>
      </c>
      <c r="B358" s="16">
        <v>149.5</v>
      </c>
      <c r="C358" s="24">
        <f t="shared" si="6"/>
        <v>518.21741388736666</v>
      </c>
      <c r="D358" s="20">
        <v>3.58119190814781e-002</v>
      </c>
      <c r="E358" s="20" t="s">
        <v>314</v>
      </c>
      <c r="F358" s="25" t="s">
        <v>345</v>
      </c>
      <c r="G358" s="21" t="s">
        <v>359</v>
      </c>
      <c r="H358" s="21" t="s">
        <v>360</v>
      </c>
      <c r="I358" s="16">
        <v>52</v>
      </c>
      <c r="J358" s="16">
        <v>158</v>
      </c>
      <c r="K358" s="16" t="s">
        <v>207</v>
      </c>
      <c r="L358" s="26">
        <v>-0.25</v>
      </c>
      <c r="M358" s="26"/>
      <c r="N358" s="26"/>
      <c r="O358" s="26"/>
      <c r="P358" s="26"/>
      <c r="Q358" s="20"/>
      <c r="R358" s="24"/>
    </row>
    <row r="359" s="3" customFormat="1">
      <c r="A359" s="16" t="s">
        <v>405</v>
      </c>
      <c r="B359" s="16">
        <v>149</v>
      </c>
      <c r="C359" s="24">
        <f t="shared" si="6"/>
        <v>518.23531984690737</v>
      </c>
      <c r="D359" s="20">
        <v>3.58119190814781e-002</v>
      </c>
      <c r="E359" s="20" t="s">
        <v>314</v>
      </c>
      <c r="F359" s="25" t="s">
        <v>345</v>
      </c>
      <c r="G359" s="21" t="s">
        <v>359</v>
      </c>
      <c r="H359" s="21" t="s">
        <v>360</v>
      </c>
      <c r="I359" s="16">
        <v>52</v>
      </c>
      <c r="J359" s="16">
        <v>158</v>
      </c>
      <c r="K359" s="16" t="s">
        <v>207</v>
      </c>
      <c r="L359" s="26">
        <v>-0.40000000000000002</v>
      </c>
      <c r="M359" s="26"/>
      <c r="N359" s="26"/>
      <c r="O359" s="26"/>
      <c r="P359" s="26"/>
      <c r="Q359" s="20"/>
      <c r="R359" s="24"/>
    </row>
    <row r="360" s="3" customFormat="1">
      <c r="A360" s="16" t="s">
        <v>406</v>
      </c>
      <c r="B360" s="16">
        <v>148</v>
      </c>
      <c r="C360" s="24">
        <f t="shared" si="6"/>
        <v>518.2711317659888</v>
      </c>
      <c r="D360" s="20">
        <v>3.58119190814781e-002</v>
      </c>
      <c r="E360" s="20" t="s">
        <v>314</v>
      </c>
      <c r="F360" s="25" t="s">
        <v>345</v>
      </c>
      <c r="G360" s="21" t="s">
        <v>359</v>
      </c>
      <c r="H360" s="21" t="s">
        <v>360</v>
      </c>
      <c r="I360" s="16">
        <v>52</v>
      </c>
      <c r="J360" s="16">
        <v>158</v>
      </c>
      <c r="K360" s="16" t="s">
        <v>207</v>
      </c>
      <c r="L360" s="26">
        <v>-0.5</v>
      </c>
      <c r="M360" s="26"/>
      <c r="N360" s="26"/>
      <c r="O360" s="26"/>
      <c r="P360" s="26"/>
      <c r="Q360" s="20"/>
      <c r="R360" s="24"/>
    </row>
    <row r="361" s="3" customFormat="1">
      <c r="A361" s="16" t="s">
        <v>407</v>
      </c>
      <c r="B361" s="16">
        <v>147</v>
      </c>
      <c r="C361" s="24">
        <f t="shared" si="6"/>
        <v>518.30694368507022</v>
      </c>
      <c r="D361" s="20">
        <v>3.58119190814781e-002</v>
      </c>
      <c r="E361" s="20" t="s">
        <v>314</v>
      </c>
      <c r="F361" s="25" t="s">
        <v>345</v>
      </c>
      <c r="G361" s="21" t="s">
        <v>359</v>
      </c>
      <c r="H361" s="21" t="s">
        <v>360</v>
      </c>
      <c r="I361" s="16">
        <v>52</v>
      </c>
      <c r="J361" s="16">
        <v>158</v>
      </c>
      <c r="K361" s="16" t="s">
        <v>207</v>
      </c>
      <c r="L361" s="26">
        <v>-0.5</v>
      </c>
      <c r="M361" s="26"/>
      <c r="N361" s="26"/>
      <c r="O361" s="26"/>
      <c r="P361" s="26"/>
      <c r="Q361" s="20"/>
      <c r="R361" s="24"/>
    </row>
    <row r="362" s="3" customFormat="1">
      <c r="A362" s="16" t="s">
        <v>408</v>
      </c>
      <c r="B362" s="16">
        <v>146.5</v>
      </c>
      <c r="C362" s="24">
        <f t="shared" si="6"/>
        <v>518.32484964461094</v>
      </c>
      <c r="D362" s="20">
        <v>3.58119190814781e-002</v>
      </c>
      <c r="E362" s="20" t="s">
        <v>314</v>
      </c>
      <c r="F362" s="25" t="s">
        <v>345</v>
      </c>
      <c r="G362" s="21" t="s">
        <v>359</v>
      </c>
      <c r="H362" s="21" t="s">
        <v>360</v>
      </c>
      <c r="I362" s="16">
        <v>52</v>
      </c>
      <c r="J362" s="16">
        <v>158</v>
      </c>
      <c r="K362" s="16" t="s">
        <v>207</v>
      </c>
      <c r="L362" s="26">
        <v>-0.34999999999999998</v>
      </c>
      <c r="M362" s="26"/>
      <c r="N362" s="26"/>
      <c r="O362" s="26"/>
      <c r="P362" s="26"/>
      <c r="Q362" s="20"/>
      <c r="R362" s="24"/>
    </row>
    <row r="363" s="3" customFormat="1">
      <c r="A363" s="16" t="s">
        <v>409</v>
      </c>
      <c r="B363" s="16">
        <v>145</v>
      </c>
      <c r="C363" s="24">
        <f t="shared" si="6"/>
        <v>518.37856752323319</v>
      </c>
      <c r="D363" s="20">
        <v>3.58119190814781e-002</v>
      </c>
      <c r="E363" s="20" t="s">
        <v>314</v>
      </c>
      <c r="F363" s="25" t="s">
        <v>345</v>
      </c>
      <c r="G363" s="21" t="s">
        <v>359</v>
      </c>
      <c r="H363" s="21" t="s">
        <v>360</v>
      </c>
      <c r="I363" s="16">
        <v>52</v>
      </c>
      <c r="J363" s="16">
        <v>158</v>
      </c>
      <c r="K363" s="16" t="s">
        <v>207</v>
      </c>
      <c r="L363" s="26">
        <v>-0.5</v>
      </c>
      <c r="M363" s="26"/>
      <c r="N363" s="26"/>
      <c r="O363" s="26"/>
      <c r="P363" s="26"/>
      <c r="Q363" s="20"/>
      <c r="R363" s="24"/>
    </row>
    <row r="364" s="3" customFormat="1">
      <c r="A364" s="16" t="s">
        <v>410</v>
      </c>
      <c r="B364" s="16">
        <v>144</v>
      </c>
      <c r="C364" s="24">
        <f t="shared" si="6"/>
        <v>518.41437944231461</v>
      </c>
      <c r="D364" s="20">
        <v>3.58119190814781e-002</v>
      </c>
      <c r="E364" s="20" t="s">
        <v>314</v>
      </c>
      <c r="F364" s="25" t="s">
        <v>345</v>
      </c>
      <c r="G364" s="21" t="s">
        <v>359</v>
      </c>
      <c r="H364" s="21" t="s">
        <v>360</v>
      </c>
      <c r="I364" s="16">
        <v>52</v>
      </c>
      <c r="J364" s="16">
        <v>158</v>
      </c>
      <c r="K364" s="16" t="s">
        <v>207</v>
      </c>
      <c r="L364" s="26">
        <v>-0.45000000000000001</v>
      </c>
      <c r="M364" s="26"/>
      <c r="N364" s="26"/>
      <c r="O364" s="26"/>
      <c r="P364" s="26"/>
      <c r="Q364" s="20"/>
      <c r="R364" s="24"/>
    </row>
    <row r="365" s="3" customFormat="1">
      <c r="A365" s="16" t="s">
        <v>411</v>
      </c>
      <c r="B365" s="16">
        <v>143</v>
      </c>
      <c r="C365" s="24">
        <f t="shared" si="6"/>
        <v>518.45019136139604</v>
      </c>
      <c r="D365" s="20">
        <v>3.58119190814781e-002</v>
      </c>
      <c r="E365" s="20" t="s">
        <v>314</v>
      </c>
      <c r="F365" s="25" t="s">
        <v>345</v>
      </c>
      <c r="G365" s="21" t="s">
        <v>359</v>
      </c>
      <c r="H365" s="21" t="s">
        <v>360</v>
      </c>
      <c r="I365" s="16">
        <v>52</v>
      </c>
      <c r="J365" s="16">
        <v>158</v>
      </c>
      <c r="K365" s="16" t="s">
        <v>207</v>
      </c>
      <c r="L365" s="26">
        <v>-0.84999999999999998</v>
      </c>
      <c r="M365" s="26"/>
      <c r="N365" s="26"/>
      <c r="O365" s="26"/>
      <c r="P365" s="26"/>
      <c r="Q365" s="20"/>
      <c r="R365" s="24"/>
    </row>
    <row r="366" s="3" customFormat="1">
      <c r="A366" s="16" t="s">
        <v>412</v>
      </c>
      <c r="B366" s="16">
        <v>142</v>
      </c>
      <c r="C366" s="24">
        <f t="shared" si="6"/>
        <v>518.48600328047746</v>
      </c>
      <c r="D366" s="20">
        <v>3.58119190814781e-002</v>
      </c>
      <c r="E366" s="20" t="s">
        <v>314</v>
      </c>
      <c r="F366" s="25" t="s">
        <v>345</v>
      </c>
      <c r="G366" s="21" t="s">
        <v>359</v>
      </c>
      <c r="H366" s="21" t="s">
        <v>360</v>
      </c>
      <c r="I366" s="16">
        <v>52</v>
      </c>
      <c r="J366" s="16">
        <v>158</v>
      </c>
      <c r="K366" s="16" t="s">
        <v>207</v>
      </c>
      <c r="L366" s="26">
        <v>-0.5</v>
      </c>
      <c r="M366" s="26"/>
      <c r="N366" s="26"/>
      <c r="O366" s="26"/>
      <c r="P366" s="26"/>
      <c r="Q366" s="20"/>
      <c r="R366" s="24"/>
    </row>
    <row r="367" s="3" customFormat="1">
      <c r="A367" s="16" t="s">
        <v>413</v>
      </c>
      <c r="B367" s="16">
        <v>141</v>
      </c>
      <c r="C367" s="24">
        <f t="shared" si="6"/>
        <v>518.52181519955889</v>
      </c>
      <c r="D367" s="20">
        <v>3.58119190814781e-002</v>
      </c>
      <c r="E367" s="20" t="s">
        <v>314</v>
      </c>
      <c r="F367" s="25" t="s">
        <v>345</v>
      </c>
      <c r="G367" s="21" t="s">
        <v>359</v>
      </c>
      <c r="H367" s="21" t="s">
        <v>360</v>
      </c>
      <c r="I367" s="16">
        <v>52</v>
      </c>
      <c r="J367" s="16">
        <v>158</v>
      </c>
      <c r="K367" s="16" t="s">
        <v>207</v>
      </c>
      <c r="L367" s="26">
        <v>-0.59999999999999998</v>
      </c>
      <c r="M367" s="26"/>
      <c r="N367" s="26"/>
      <c r="O367" s="26"/>
      <c r="P367" s="26"/>
      <c r="Q367" s="20"/>
      <c r="R367" s="24"/>
    </row>
    <row r="368" s="3" customFormat="1">
      <c r="A368" s="16" t="s">
        <v>414</v>
      </c>
      <c r="B368" s="16">
        <v>140</v>
      </c>
      <c r="C368" s="24">
        <f t="shared" si="6"/>
        <v>518.55762711864031</v>
      </c>
      <c r="D368" s="20">
        <v>3.58119190814781e-002</v>
      </c>
      <c r="E368" s="20" t="s">
        <v>314</v>
      </c>
      <c r="F368" s="25" t="s">
        <v>345</v>
      </c>
      <c r="G368" s="21" t="s">
        <v>359</v>
      </c>
      <c r="H368" s="21" t="s">
        <v>360</v>
      </c>
      <c r="I368" s="16">
        <v>52</v>
      </c>
      <c r="J368" s="16">
        <v>158</v>
      </c>
      <c r="K368" s="16" t="s">
        <v>207</v>
      </c>
      <c r="L368" s="26">
        <v>-0.40000000000000002</v>
      </c>
      <c r="M368" s="26"/>
      <c r="N368" s="26"/>
      <c r="O368" s="26"/>
      <c r="P368" s="26"/>
      <c r="Q368" s="20"/>
      <c r="R368" s="24"/>
    </row>
    <row r="369" s="3" customFormat="1">
      <c r="A369" s="16" t="s">
        <v>415</v>
      </c>
      <c r="B369" s="16">
        <v>139</v>
      </c>
      <c r="C369" s="24">
        <f t="shared" si="6"/>
        <v>518.59343903772174</v>
      </c>
      <c r="D369" s="20">
        <v>3.58119190814781e-002</v>
      </c>
      <c r="E369" s="20" t="s">
        <v>314</v>
      </c>
      <c r="F369" s="25" t="s">
        <v>345</v>
      </c>
      <c r="G369" s="21" t="s">
        <v>359</v>
      </c>
      <c r="H369" s="21" t="s">
        <v>360</v>
      </c>
      <c r="I369" s="16">
        <v>52</v>
      </c>
      <c r="J369" s="16">
        <v>158</v>
      </c>
      <c r="K369" s="16" t="s">
        <v>207</v>
      </c>
      <c r="L369" s="26">
        <v>-0.25</v>
      </c>
      <c r="M369" s="26"/>
      <c r="N369" s="26"/>
      <c r="O369" s="26"/>
      <c r="P369" s="26"/>
      <c r="Q369" s="20"/>
      <c r="R369" s="24"/>
    </row>
    <row r="370" s="3" customFormat="1">
      <c r="A370" s="16" t="s">
        <v>416</v>
      </c>
      <c r="B370" s="16">
        <v>138</v>
      </c>
      <c r="C370" s="24">
        <f t="shared" si="6"/>
        <v>518.62925095680316</v>
      </c>
      <c r="D370" s="20">
        <v>3.58119190814781e-002</v>
      </c>
      <c r="E370" s="20" t="s">
        <v>314</v>
      </c>
      <c r="F370" s="25" t="s">
        <v>345</v>
      </c>
      <c r="G370" s="21" t="s">
        <v>359</v>
      </c>
      <c r="H370" s="21" t="s">
        <v>360</v>
      </c>
      <c r="I370" s="16">
        <v>52</v>
      </c>
      <c r="J370" s="16">
        <v>158</v>
      </c>
      <c r="K370" s="16" t="s">
        <v>207</v>
      </c>
      <c r="L370" s="26">
        <v>0</v>
      </c>
      <c r="M370" s="26"/>
      <c r="N370" s="26"/>
      <c r="O370" s="26"/>
      <c r="P370" s="26"/>
      <c r="Q370" s="20"/>
      <c r="R370" s="24"/>
    </row>
    <row r="371" s="3" customFormat="1">
      <c r="A371" s="16" t="s">
        <v>417</v>
      </c>
      <c r="B371" s="16">
        <v>135</v>
      </c>
      <c r="C371" s="24">
        <f t="shared" si="6"/>
        <v>518.73668671404755</v>
      </c>
      <c r="D371" s="20">
        <v>3.58119190814781e-002</v>
      </c>
      <c r="E371" s="20" t="s">
        <v>314</v>
      </c>
      <c r="F371" s="25" t="s">
        <v>345</v>
      </c>
      <c r="G371" s="21" t="s">
        <v>359</v>
      </c>
      <c r="H371" s="21" t="s">
        <v>360</v>
      </c>
      <c r="I371" s="16">
        <v>52</v>
      </c>
      <c r="J371" s="16">
        <v>158</v>
      </c>
      <c r="K371" s="16" t="s">
        <v>207</v>
      </c>
      <c r="L371" s="26">
        <v>0.29999999999999999</v>
      </c>
      <c r="M371" s="26"/>
      <c r="N371" s="26"/>
      <c r="O371" s="26"/>
      <c r="P371" s="26"/>
      <c r="Q371" s="20"/>
      <c r="R371" s="24"/>
    </row>
    <row r="372" s="3" customFormat="1">
      <c r="A372" s="16" t="s">
        <v>418</v>
      </c>
      <c r="B372" s="16">
        <v>134</v>
      </c>
      <c r="C372" s="24">
        <f t="shared" si="6"/>
        <v>518.77249863312898</v>
      </c>
      <c r="D372" s="20">
        <v>3.58119190814781e-002</v>
      </c>
      <c r="E372" s="20" t="s">
        <v>314</v>
      </c>
      <c r="F372" s="25" t="s">
        <v>345</v>
      </c>
      <c r="G372" s="21" t="s">
        <v>359</v>
      </c>
      <c r="H372" s="21" t="s">
        <v>360</v>
      </c>
      <c r="I372" s="16">
        <v>52</v>
      </c>
      <c r="J372" s="16">
        <v>158</v>
      </c>
      <c r="K372" s="16" t="s">
        <v>207</v>
      </c>
      <c r="L372" s="26">
        <v>-0.20000000000000001</v>
      </c>
      <c r="M372" s="26"/>
      <c r="N372" s="26"/>
      <c r="O372" s="26"/>
      <c r="P372" s="26"/>
      <c r="Q372" s="20"/>
      <c r="R372" s="24"/>
    </row>
    <row r="373" s="3" customFormat="1">
      <c r="A373" s="16" t="s">
        <v>419</v>
      </c>
      <c r="B373" s="16">
        <v>133</v>
      </c>
      <c r="C373" s="24">
        <f t="shared" si="6"/>
        <v>518.8083105522104</v>
      </c>
      <c r="D373" s="20">
        <v>3.58119190814781e-002</v>
      </c>
      <c r="E373" s="20" t="s">
        <v>314</v>
      </c>
      <c r="F373" s="25" t="s">
        <v>345</v>
      </c>
      <c r="G373" s="21" t="s">
        <v>359</v>
      </c>
      <c r="H373" s="21" t="s">
        <v>360</v>
      </c>
      <c r="I373" s="16">
        <v>52</v>
      </c>
      <c r="J373" s="16">
        <v>158</v>
      </c>
      <c r="K373" s="16" t="s">
        <v>207</v>
      </c>
      <c r="L373" s="26">
        <v>-5.0000000000000003e-002</v>
      </c>
      <c r="M373" s="26"/>
      <c r="N373" s="26"/>
      <c r="O373" s="26"/>
      <c r="P373" s="26"/>
      <c r="Q373" s="20"/>
      <c r="R373" s="24"/>
    </row>
    <row r="374" s="3" customFormat="1">
      <c r="A374" s="16" t="s">
        <v>420</v>
      </c>
      <c r="B374" s="16">
        <v>132</v>
      </c>
      <c r="C374" s="24">
        <f t="shared" si="6"/>
        <v>518.84412247129183</v>
      </c>
      <c r="D374" s="20">
        <v>3.58119190814781e-002</v>
      </c>
      <c r="E374" s="20" t="s">
        <v>314</v>
      </c>
      <c r="F374" s="25" t="s">
        <v>345</v>
      </c>
      <c r="G374" s="21" t="s">
        <v>359</v>
      </c>
      <c r="H374" s="21" t="s">
        <v>360</v>
      </c>
      <c r="I374" s="16">
        <v>52</v>
      </c>
      <c r="J374" s="16">
        <v>158</v>
      </c>
      <c r="K374" s="16" t="s">
        <v>207</v>
      </c>
      <c r="L374" s="26">
        <v>-5.0000000000000003e-002</v>
      </c>
      <c r="M374" s="26"/>
      <c r="N374" s="26"/>
      <c r="O374" s="26"/>
      <c r="P374" s="26"/>
      <c r="Q374" s="20"/>
      <c r="R374" s="24"/>
    </row>
    <row r="375" s="3" customFormat="1">
      <c r="A375" s="16" t="s">
        <v>421</v>
      </c>
      <c r="B375" s="16">
        <v>129</v>
      </c>
      <c r="C375" s="24">
        <f t="shared" si="6"/>
        <v>518.95155822853621</v>
      </c>
      <c r="D375" s="20">
        <v>3.58119190814781e-002</v>
      </c>
      <c r="E375" s="20" t="s">
        <v>314</v>
      </c>
      <c r="F375" s="25" t="s">
        <v>345</v>
      </c>
      <c r="G375" s="32" t="s">
        <v>422</v>
      </c>
      <c r="H375" s="21" t="s">
        <v>423</v>
      </c>
      <c r="I375" s="16">
        <v>57</v>
      </c>
      <c r="J375" s="16">
        <v>138</v>
      </c>
      <c r="K375" s="16" t="s">
        <v>207</v>
      </c>
      <c r="L375" s="26">
        <v>-5.0000000000000003e-002</v>
      </c>
      <c r="M375" s="26"/>
      <c r="N375" s="26"/>
      <c r="O375" s="26"/>
      <c r="P375" s="26"/>
      <c r="Q375" s="20"/>
      <c r="R375" s="24"/>
    </row>
    <row r="376" s="3" customFormat="1">
      <c r="A376" s="16" t="s">
        <v>424</v>
      </c>
      <c r="B376" s="16">
        <v>128</v>
      </c>
      <c r="C376" s="24">
        <f t="shared" si="6"/>
        <v>518.98737014761764</v>
      </c>
      <c r="D376" s="20">
        <v>3.58119190814781e-002</v>
      </c>
      <c r="E376" s="20" t="s">
        <v>314</v>
      </c>
      <c r="F376" s="25" t="s">
        <v>345</v>
      </c>
      <c r="G376" s="32" t="s">
        <v>422</v>
      </c>
      <c r="H376" s="21" t="s">
        <v>423</v>
      </c>
      <c r="I376" s="16">
        <v>57</v>
      </c>
      <c r="J376" s="16">
        <v>138</v>
      </c>
      <c r="K376" s="16" t="s">
        <v>207</v>
      </c>
      <c r="L376" s="26">
        <v>0.25</v>
      </c>
      <c r="M376" s="26"/>
      <c r="N376" s="26"/>
      <c r="O376" s="26"/>
      <c r="P376" s="26"/>
      <c r="Q376" s="20"/>
      <c r="R376" s="24"/>
    </row>
    <row r="377" s="3" customFormat="1">
      <c r="A377" s="16" t="s">
        <v>425</v>
      </c>
      <c r="B377" s="16">
        <v>126</v>
      </c>
      <c r="C377" s="24">
        <f t="shared" si="6"/>
        <v>519.0589939857806</v>
      </c>
      <c r="D377" s="20">
        <v>3.58119190814781e-002</v>
      </c>
      <c r="E377" s="20" t="s">
        <v>314</v>
      </c>
      <c r="F377" s="25" t="s">
        <v>345</v>
      </c>
      <c r="G377" s="32" t="s">
        <v>422</v>
      </c>
      <c r="H377" s="21" t="s">
        <v>423</v>
      </c>
      <c r="I377" s="16">
        <v>57</v>
      </c>
      <c r="J377" s="16">
        <v>138</v>
      </c>
      <c r="K377" s="16" t="s">
        <v>207</v>
      </c>
      <c r="L377" s="26">
        <v>0.5</v>
      </c>
      <c r="M377" s="26"/>
      <c r="N377" s="26"/>
      <c r="O377" s="26"/>
      <c r="P377" s="26"/>
      <c r="Q377" s="20"/>
      <c r="R377" s="24"/>
    </row>
    <row r="378" s="3" customFormat="1">
      <c r="A378" s="16" t="s">
        <v>426</v>
      </c>
      <c r="B378" s="16">
        <v>125</v>
      </c>
      <c r="C378" s="24">
        <f t="shared" si="6"/>
        <v>519.09480590486203</v>
      </c>
      <c r="D378" s="20">
        <v>3.58119190814781e-002</v>
      </c>
      <c r="E378" s="20" t="s">
        <v>314</v>
      </c>
      <c r="F378" s="25" t="s">
        <v>345</v>
      </c>
      <c r="G378" s="32" t="s">
        <v>422</v>
      </c>
      <c r="H378" s="21" t="s">
        <v>423</v>
      </c>
      <c r="I378" s="16">
        <v>57</v>
      </c>
      <c r="J378" s="16">
        <v>138</v>
      </c>
      <c r="K378" s="16" t="s">
        <v>207</v>
      </c>
      <c r="L378" s="26">
        <v>0.94999999999999996</v>
      </c>
      <c r="M378" s="26"/>
      <c r="N378" s="26"/>
      <c r="O378" s="26"/>
      <c r="P378" s="26"/>
      <c r="Q378" s="20"/>
      <c r="R378" s="24"/>
    </row>
    <row r="379" s="3" customFormat="1">
      <c r="A379" s="16" t="s">
        <v>427</v>
      </c>
      <c r="B379" s="16">
        <v>123</v>
      </c>
      <c r="C379" s="24">
        <f t="shared" si="6"/>
        <v>519.16642974302499</v>
      </c>
      <c r="D379" s="20">
        <v>3.58119190814781e-002</v>
      </c>
      <c r="E379" s="20" t="s">
        <v>314</v>
      </c>
      <c r="F379" s="25" t="s">
        <v>345</v>
      </c>
      <c r="G379" s="32" t="s">
        <v>422</v>
      </c>
      <c r="H379" s="21" t="s">
        <v>423</v>
      </c>
      <c r="I379" s="16">
        <v>57</v>
      </c>
      <c r="J379" s="16">
        <v>138</v>
      </c>
      <c r="K379" s="16" t="s">
        <v>207</v>
      </c>
      <c r="L379" s="26">
        <v>0.75</v>
      </c>
      <c r="M379" s="26"/>
      <c r="N379" s="26"/>
      <c r="O379" s="26"/>
      <c r="P379" s="26"/>
      <c r="Q379" s="20"/>
      <c r="R379" s="24"/>
    </row>
    <row r="380" s="3" customFormat="1">
      <c r="A380" s="16" t="s">
        <v>428</v>
      </c>
      <c r="B380" s="16">
        <v>122</v>
      </c>
      <c r="C380" s="24">
        <f t="shared" si="6"/>
        <v>519.20224166210642</v>
      </c>
      <c r="D380" s="20">
        <v>3.58119190814781e-002</v>
      </c>
      <c r="E380" s="20" t="s">
        <v>314</v>
      </c>
      <c r="F380" s="25" t="s">
        <v>345</v>
      </c>
      <c r="G380" s="32" t="s">
        <v>422</v>
      </c>
      <c r="H380" s="21" t="s">
        <v>423</v>
      </c>
      <c r="I380" s="16">
        <v>57</v>
      </c>
      <c r="J380" s="16">
        <v>138</v>
      </c>
      <c r="K380" s="16" t="s">
        <v>282</v>
      </c>
      <c r="L380" s="26">
        <v>1.2</v>
      </c>
      <c r="M380" s="26"/>
      <c r="N380" s="26"/>
      <c r="O380" s="26"/>
      <c r="P380" s="26"/>
      <c r="Q380" s="20"/>
      <c r="R380" s="24"/>
    </row>
    <row r="381" s="3" customFormat="1">
      <c r="A381" s="16" t="s">
        <v>429</v>
      </c>
      <c r="B381" s="16">
        <v>121</v>
      </c>
      <c r="C381" s="24">
        <f t="shared" si="6"/>
        <v>519.23805358118784</v>
      </c>
      <c r="D381" s="20">
        <v>3.58119190814781e-002</v>
      </c>
      <c r="E381" s="20" t="s">
        <v>314</v>
      </c>
      <c r="F381" s="25" t="s">
        <v>345</v>
      </c>
      <c r="G381" s="32" t="s">
        <v>422</v>
      </c>
      <c r="H381" s="21" t="s">
        <v>423</v>
      </c>
      <c r="I381" s="16">
        <v>57</v>
      </c>
      <c r="J381" s="16">
        <v>138</v>
      </c>
      <c r="K381" s="16" t="s">
        <v>282</v>
      </c>
      <c r="L381" s="26">
        <v>0.5</v>
      </c>
      <c r="M381" s="26"/>
      <c r="N381" s="26"/>
      <c r="O381" s="26"/>
      <c r="P381" s="26"/>
      <c r="Q381" s="20"/>
      <c r="R381" s="24"/>
    </row>
    <row r="382" s="3" customFormat="1">
      <c r="A382" s="16" t="s">
        <v>430</v>
      </c>
      <c r="B382" s="16">
        <v>120</v>
      </c>
      <c r="C382" s="24">
        <f t="shared" si="6"/>
        <v>519.27386550026927</v>
      </c>
      <c r="D382" s="20">
        <v>3.58119190814781e-002</v>
      </c>
      <c r="E382" s="20" t="s">
        <v>314</v>
      </c>
      <c r="F382" s="25" t="s">
        <v>345</v>
      </c>
      <c r="G382" s="32" t="s">
        <v>422</v>
      </c>
      <c r="H382" s="21" t="s">
        <v>423</v>
      </c>
      <c r="I382" s="16">
        <v>57</v>
      </c>
      <c r="J382" s="16">
        <v>138</v>
      </c>
      <c r="K382" s="16" t="s">
        <v>282</v>
      </c>
      <c r="L382" s="26">
        <v>1.5</v>
      </c>
      <c r="M382" s="26"/>
      <c r="N382" s="26"/>
      <c r="O382" s="26"/>
      <c r="P382" s="26"/>
      <c r="Q382" s="20"/>
      <c r="R382" s="24"/>
    </row>
    <row r="383" s="3" customFormat="1">
      <c r="A383" s="16" t="s">
        <v>431</v>
      </c>
      <c r="B383" s="16">
        <v>119</v>
      </c>
      <c r="C383" s="24">
        <f t="shared" si="6"/>
        <v>519.30967741935069</v>
      </c>
      <c r="D383" s="20">
        <v>3.58119190814781e-002</v>
      </c>
      <c r="E383" s="20" t="s">
        <v>314</v>
      </c>
      <c r="F383" s="25" t="s">
        <v>345</v>
      </c>
      <c r="G383" s="32" t="s">
        <v>422</v>
      </c>
      <c r="H383" s="21" t="s">
        <v>423</v>
      </c>
      <c r="I383" s="16">
        <v>57</v>
      </c>
      <c r="J383" s="16">
        <v>138</v>
      </c>
      <c r="K383" s="16" t="s">
        <v>282</v>
      </c>
      <c r="L383" s="26">
        <v>1.25</v>
      </c>
      <c r="M383" s="26"/>
      <c r="N383" s="26"/>
      <c r="O383" s="26"/>
      <c r="P383" s="26"/>
      <c r="Q383" s="20"/>
      <c r="R383" s="24"/>
    </row>
    <row r="384" s="3" customFormat="1">
      <c r="A384" s="16" t="s">
        <v>432</v>
      </c>
      <c r="B384" s="16">
        <v>118</v>
      </c>
      <c r="C384" s="24">
        <f t="shared" si="6"/>
        <v>519.34548933843212</v>
      </c>
      <c r="D384" s="20">
        <v>3.58119190814781e-002</v>
      </c>
      <c r="E384" s="20" t="s">
        <v>314</v>
      </c>
      <c r="F384" s="25" t="s">
        <v>345</v>
      </c>
      <c r="G384" s="32" t="s">
        <v>422</v>
      </c>
      <c r="H384" s="21" t="s">
        <v>423</v>
      </c>
      <c r="I384" s="16">
        <v>57</v>
      </c>
      <c r="J384" s="16">
        <v>138</v>
      </c>
      <c r="K384" s="16" t="s">
        <v>282</v>
      </c>
      <c r="L384" s="26">
        <v>1.25</v>
      </c>
      <c r="M384" s="26"/>
      <c r="N384" s="26"/>
      <c r="O384" s="26"/>
      <c r="P384" s="26"/>
      <c r="Q384" s="20"/>
      <c r="R384" s="24"/>
    </row>
    <row r="385" s="3" customFormat="1">
      <c r="A385" s="16" t="s">
        <v>433</v>
      </c>
      <c r="B385" s="16">
        <v>116</v>
      </c>
      <c r="C385" s="24">
        <f t="shared" si="6"/>
        <v>519.41711317659508</v>
      </c>
      <c r="D385" s="20">
        <v>3.58119190814781e-002</v>
      </c>
      <c r="E385" s="20" t="s">
        <v>314</v>
      </c>
      <c r="F385" s="25" t="s">
        <v>345</v>
      </c>
      <c r="G385" s="32" t="s">
        <v>422</v>
      </c>
      <c r="H385" s="21" t="s">
        <v>423</v>
      </c>
      <c r="I385" s="16">
        <v>57</v>
      </c>
      <c r="J385" s="16">
        <v>138</v>
      </c>
      <c r="K385" s="16" t="s">
        <v>282</v>
      </c>
      <c r="L385" s="26">
        <v>1.5</v>
      </c>
      <c r="M385" s="26"/>
      <c r="N385" s="26"/>
      <c r="O385" s="26"/>
      <c r="P385" s="26"/>
      <c r="Q385" s="20"/>
      <c r="R385" s="24"/>
    </row>
    <row r="386" s="3" customFormat="1">
      <c r="A386" s="16" t="s">
        <v>434</v>
      </c>
      <c r="B386" s="16">
        <v>113</v>
      </c>
      <c r="C386" s="24">
        <f t="shared" si="6"/>
        <v>519.52454893383947</v>
      </c>
      <c r="D386" s="20">
        <v>3.58119190814781e-002</v>
      </c>
      <c r="E386" s="20" t="s">
        <v>314</v>
      </c>
      <c r="F386" s="25" t="s">
        <v>345</v>
      </c>
      <c r="G386" s="32" t="s">
        <v>422</v>
      </c>
      <c r="H386" s="21" t="s">
        <v>423</v>
      </c>
      <c r="I386" s="16">
        <v>57</v>
      </c>
      <c r="J386" s="16">
        <v>138</v>
      </c>
      <c r="K386" s="16" t="s">
        <v>282</v>
      </c>
      <c r="L386" s="26">
        <v>1.3500000000000001</v>
      </c>
      <c r="M386" s="26"/>
      <c r="N386" s="26"/>
      <c r="O386" s="26"/>
      <c r="P386" s="26"/>
      <c r="Q386" s="20"/>
      <c r="R386" s="24"/>
    </row>
    <row r="387" s="3" customFormat="1">
      <c r="A387" s="22" t="s">
        <v>435</v>
      </c>
      <c r="B387" s="23">
        <v>112</v>
      </c>
      <c r="C387" s="24">
        <f t="shared" si="6"/>
        <v>519.56036085292089</v>
      </c>
      <c r="D387" s="20">
        <v>3.58119190814781e-002</v>
      </c>
      <c r="E387" s="20" t="s">
        <v>314</v>
      </c>
      <c r="F387" s="25" t="s">
        <v>345</v>
      </c>
      <c r="G387" s="32" t="s">
        <v>422</v>
      </c>
      <c r="H387" s="21" t="s">
        <v>423</v>
      </c>
      <c r="I387" s="16">
        <v>57</v>
      </c>
      <c r="J387" s="16">
        <v>138</v>
      </c>
      <c r="K387" s="16" t="s">
        <v>282</v>
      </c>
      <c r="L387" s="26">
        <v>1.0920000000000001</v>
      </c>
      <c r="M387" s="26">
        <v>-6.1890000000000001</v>
      </c>
      <c r="N387" s="26"/>
      <c r="O387" s="26"/>
      <c r="P387" s="26"/>
      <c r="Q387" s="20"/>
      <c r="R387" s="24"/>
    </row>
    <row r="388" s="3" customFormat="1">
      <c r="A388" s="22" t="s">
        <v>436</v>
      </c>
      <c r="B388" s="23">
        <v>111</v>
      </c>
      <c r="C388" s="24">
        <f t="shared" si="6"/>
        <v>519.59617277200232</v>
      </c>
      <c r="D388" s="20">
        <v>3.58119190814781e-002</v>
      </c>
      <c r="E388" s="20" t="s">
        <v>314</v>
      </c>
      <c r="F388" s="25" t="s">
        <v>345</v>
      </c>
      <c r="G388" s="32" t="s">
        <v>422</v>
      </c>
      <c r="H388" s="21" t="s">
        <v>423</v>
      </c>
      <c r="I388" s="16">
        <v>57</v>
      </c>
      <c r="J388" s="16">
        <v>138</v>
      </c>
      <c r="K388" s="16" t="s">
        <v>282</v>
      </c>
      <c r="L388" s="23">
        <v>1.222</v>
      </c>
      <c r="M388" s="23">
        <v>-6.2320000000000002</v>
      </c>
      <c r="N388" s="26"/>
      <c r="O388" s="26"/>
      <c r="P388" s="26"/>
      <c r="Q388" s="20"/>
      <c r="R388" s="24"/>
    </row>
    <row r="389" s="3" customFormat="1">
      <c r="A389" s="22" t="s">
        <v>437</v>
      </c>
      <c r="B389" s="23">
        <v>110</v>
      </c>
      <c r="C389" s="24">
        <f t="shared" si="6"/>
        <v>519.63198469108374</v>
      </c>
      <c r="D389" s="20">
        <v>3.58119190814781e-002</v>
      </c>
      <c r="E389" s="20" t="s">
        <v>314</v>
      </c>
      <c r="F389" s="25" t="s">
        <v>345</v>
      </c>
      <c r="G389" s="32" t="s">
        <v>422</v>
      </c>
      <c r="H389" s="21" t="s">
        <v>423</v>
      </c>
      <c r="I389" s="16">
        <v>57</v>
      </c>
      <c r="J389" s="16">
        <v>138</v>
      </c>
      <c r="K389" s="16" t="s">
        <v>282</v>
      </c>
      <c r="L389" s="23">
        <v>1.1659999999999999</v>
      </c>
      <c r="M389" s="23">
        <v>-6.1749999999999998</v>
      </c>
      <c r="N389" s="26"/>
      <c r="O389" s="26"/>
      <c r="P389" s="23">
        <v>79.974765000000005</v>
      </c>
      <c r="Q389" s="27">
        <v>2.9110979529690405e-002</v>
      </c>
      <c r="R389" s="28">
        <v>6.0388529689532879e-002</v>
      </c>
    </row>
    <row r="390" s="3" customFormat="1">
      <c r="A390" s="22" t="s">
        <v>438</v>
      </c>
      <c r="B390" s="23">
        <v>109</v>
      </c>
      <c r="C390" s="24">
        <f t="shared" ref="C390:C453" si="7">C389+(B389-B390)*D390</f>
        <v>519.66779661016517</v>
      </c>
      <c r="D390" s="20">
        <v>3.58119190814781e-002</v>
      </c>
      <c r="E390" s="20" t="s">
        <v>314</v>
      </c>
      <c r="F390" s="25" t="s">
        <v>345</v>
      </c>
      <c r="G390" s="32" t="s">
        <v>422</v>
      </c>
      <c r="H390" s="21" t="s">
        <v>423</v>
      </c>
      <c r="I390" s="16">
        <v>57</v>
      </c>
      <c r="J390" s="16">
        <v>138</v>
      </c>
      <c r="K390" s="16" t="s">
        <v>282</v>
      </c>
      <c r="L390" s="23">
        <v>1.4179999999999999</v>
      </c>
      <c r="M390" s="23">
        <v>-6.4450000000000003</v>
      </c>
      <c r="N390" s="26"/>
      <c r="O390" s="26"/>
      <c r="P390" s="26"/>
      <c r="Q390" s="20"/>
      <c r="R390" s="24"/>
    </row>
    <row r="391" s="3" customFormat="1">
      <c r="A391" s="22" t="s">
        <v>439</v>
      </c>
      <c r="B391" s="23">
        <v>97</v>
      </c>
      <c r="C391" s="24">
        <f t="shared" si="7"/>
        <v>520.09753963914295</v>
      </c>
      <c r="D391" s="20">
        <v>3.58119190814781e-002</v>
      </c>
      <c r="E391" s="20" t="s">
        <v>314</v>
      </c>
      <c r="F391" s="25" t="s">
        <v>345</v>
      </c>
      <c r="G391" s="32" t="s">
        <v>422</v>
      </c>
      <c r="H391" s="21" t="s">
        <v>440</v>
      </c>
      <c r="I391" s="16">
        <v>57</v>
      </c>
      <c r="J391" s="16">
        <v>138</v>
      </c>
      <c r="K391" s="16" t="s">
        <v>282</v>
      </c>
      <c r="L391" s="23">
        <v>1.3120000000000001</v>
      </c>
      <c r="M391" s="23">
        <v>-6.0439999999999996</v>
      </c>
      <c r="N391" s="26">
        <v>35.340000000000003</v>
      </c>
      <c r="O391" s="26">
        <v>158.2707982</v>
      </c>
      <c r="P391" s="23">
        <v>76.982199999999992</v>
      </c>
      <c r="Q391" s="27">
        <v>0.24580517870549823</v>
      </c>
      <c r="R391" s="28">
        <v>0.64372773088561852</v>
      </c>
    </row>
    <row r="392" s="3" customFormat="1">
      <c r="A392" s="22" t="s">
        <v>441</v>
      </c>
      <c r="B392" s="23">
        <v>96</v>
      </c>
      <c r="C392" s="24">
        <f t="shared" si="7"/>
        <v>520.13335155822438</v>
      </c>
      <c r="D392" s="20">
        <v>3.58119190814781e-002</v>
      </c>
      <c r="E392" s="20" t="s">
        <v>314</v>
      </c>
      <c r="F392" s="25" t="s">
        <v>345</v>
      </c>
      <c r="G392" s="32" t="s">
        <v>422</v>
      </c>
      <c r="H392" s="21" t="s">
        <v>440</v>
      </c>
      <c r="I392" s="16">
        <v>57</v>
      </c>
      <c r="J392" s="16">
        <v>138</v>
      </c>
      <c r="K392" s="16" t="s">
        <v>282</v>
      </c>
      <c r="L392" s="23">
        <v>1.252</v>
      </c>
      <c r="M392" s="23">
        <v>-5.7930000000000001</v>
      </c>
      <c r="N392" s="26"/>
      <c r="O392" s="26"/>
      <c r="P392" s="26"/>
      <c r="Q392" s="20"/>
      <c r="R392" s="24"/>
    </row>
    <row r="393" s="3" customFormat="1">
      <c r="A393" s="22" t="s">
        <v>442</v>
      </c>
      <c r="B393" s="23">
        <v>95.299999999999997</v>
      </c>
      <c r="C393" s="24">
        <f t="shared" si="7"/>
        <v>520.1584199015814</v>
      </c>
      <c r="D393" s="20">
        <v>3.58119190814781e-002</v>
      </c>
      <c r="E393" s="20" t="s">
        <v>314</v>
      </c>
      <c r="F393" s="25" t="s">
        <v>345</v>
      </c>
      <c r="G393" s="32" t="s">
        <v>422</v>
      </c>
      <c r="H393" s="21" t="s">
        <v>440</v>
      </c>
      <c r="I393" s="16">
        <v>57</v>
      </c>
      <c r="J393" s="16">
        <v>138</v>
      </c>
      <c r="K393" s="16" t="s">
        <v>282</v>
      </c>
      <c r="L393" s="23">
        <v>1.4850000000000001</v>
      </c>
      <c r="M393" s="23">
        <v>-5.2409999999999997</v>
      </c>
      <c r="N393" s="26"/>
      <c r="O393" s="26"/>
      <c r="P393" s="26"/>
      <c r="Q393" s="20"/>
      <c r="R393" s="24"/>
    </row>
    <row r="394" s="3" customFormat="1">
      <c r="A394" s="22" t="s">
        <v>443</v>
      </c>
      <c r="B394" s="23">
        <v>94.799999999999997</v>
      </c>
      <c r="C394" s="24">
        <f t="shared" si="7"/>
        <v>520.17632586112211</v>
      </c>
      <c r="D394" s="20">
        <v>3.58119190814781e-002</v>
      </c>
      <c r="E394" s="20" t="s">
        <v>314</v>
      </c>
      <c r="F394" s="25" t="s">
        <v>345</v>
      </c>
      <c r="G394" s="32" t="s">
        <v>422</v>
      </c>
      <c r="H394" s="21" t="s">
        <v>440</v>
      </c>
      <c r="I394" s="16">
        <v>57</v>
      </c>
      <c r="J394" s="16">
        <v>138</v>
      </c>
      <c r="K394" s="16" t="s">
        <v>282</v>
      </c>
      <c r="L394" s="26">
        <v>1.7589999999999999</v>
      </c>
      <c r="M394" s="26">
        <v>-5.7160000000000002</v>
      </c>
      <c r="N394" s="26">
        <v>35.350000000000001</v>
      </c>
      <c r="O394" s="26">
        <v>166.52026570000001</v>
      </c>
      <c r="P394" s="23">
        <v>79.900670000000005</v>
      </c>
      <c r="Q394" s="27">
        <v>0.22298258795321205</v>
      </c>
      <c r="R394" s="28">
        <v>0.83055473153366954</v>
      </c>
    </row>
    <row r="395" s="3" customFormat="1">
      <c r="A395" s="22" t="s">
        <v>444</v>
      </c>
      <c r="B395" s="23">
        <v>93.799999999999997</v>
      </c>
      <c r="C395" s="24">
        <f t="shared" si="7"/>
        <v>520.21213778020353</v>
      </c>
      <c r="D395" s="20">
        <v>3.58119190814781e-002</v>
      </c>
      <c r="E395" s="20" t="s">
        <v>314</v>
      </c>
      <c r="F395" s="25" t="s">
        <v>345</v>
      </c>
      <c r="G395" s="32" t="s">
        <v>422</v>
      </c>
      <c r="H395" s="21" t="s">
        <v>440</v>
      </c>
      <c r="I395" s="16">
        <v>57</v>
      </c>
      <c r="J395" s="16">
        <v>138</v>
      </c>
      <c r="K395" s="16" t="s">
        <v>29</v>
      </c>
      <c r="L395" s="26">
        <v>1.161</v>
      </c>
      <c r="M395" s="26">
        <v>-5.7679999999999998</v>
      </c>
      <c r="N395" s="26">
        <v>34.670000000000002</v>
      </c>
      <c r="O395" s="26">
        <v>179.78040139999999</v>
      </c>
      <c r="P395" s="23">
        <v>71.74485</v>
      </c>
      <c r="Q395" s="27">
        <v>0.26213226888194496</v>
      </c>
      <c r="R395" s="28">
        <v>0.82409856372828016</v>
      </c>
    </row>
    <row r="396" s="3" customFormat="1">
      <c r="A396" s="22" t="s">
        <v>445</v>
      </c>
      <c r="B396" s="23">
        <v>92.799999999999997</v>
      </c>
      <c r="C396" s="24">
        <f t="shared" si="7"/>
        <v>520.24794969928496</v>
      </c>
      <c r="D396" s="20">
        <v>3.58119190814781e-002</v>
      </c>
      <c r="E396" s="20" t="s">
        <v>314</v>
      </c>
      <c r="F396" s="25" t="s">
        <v>345</v>
      </c>
      <c r="G396" s="32" t="s">
        <v>422</v>
      </c>
      <c r="H396" s="21" t="s">
        <v>440</v>
      </c>
      <c r="I396" s="16">
        <v>57</v>
      </c>
      <c r="J396" s="16">
        <v>138</v>
      </c>
      <c r="K396" s="16" t="s">
        <v>29</v>
      </c>
      <c r="L396" s="26">
        <v>0.81899999999999995</v>
      </c>
      <c r="M396" s="26">
        <v>-6.2060000000000004</v>
      </c>
      <c r="N396" s="26">
        <v>35.289999999999999</v>
      </c>
      <c r="O396" s="26">
        <v>205.29657979999999</v>
      </c>
      <c r="P396" s="23">
        <v>77.118785000000003</v>
      </c>
      <c r="Q396" s="27">
        <v>0.24360333179727509</v>
      </c>
      <c r="R396" s="28">
        <v>0.72667120324420631</v>
      </c>
    </row>
    <row r="397" s="3" customFormat="1">
      <c r="A397" s="22" t="s">
        <v>446</v>
      </c>
      <c r="B397" s="23">
        <v>91.799999999999997</v>
      </c>
      <c r="C397" s="24">
        <f t="shared" si="7"/>
        <v>520.28376161836638</v>
      </c>
      <c r="D397" s="20">
        <v>3.58119190814781e-002</v>
      </c>
      <c r="E397" s="20" t="s">
        <v>314</v>
      </c>
      <c r="F397" s="25" t="s">
        <v>345</v>
      </c>
      <c r="G397" s="32" t="s">
        <v>422</v>
      </c>
      <c r="H397" s="21" t="s">
        <v>440</v>
      </c>
      <c r="I397" s="16">
        <v>57</v>
      </c>
      <c r="J397" s="16">
        <v>138</v>
      </c>
      <c r="K397" s="16" t="s">
        <v>29</v>
      </c>
      <c r="L397" s="26">
        <v>0.78200000000000003</v>
      </c>
      <c r="M397" s="26">
        <v>-5.9199999999999999</v>
      </c>
      <c r="N397" s="26">
        <v>34.369999999999997</v>
      </c>
      <c r="O397" s="26">
        <v>28.018301610000002</v>
      </c>
      <c r="P397" s="23">
        <v>75.551870000000008</v>
      </c>
      <c r="Q397" s="27">
        <v>0.27817179533155867</v>
      </c>
      <c r="R397" s="28">
        <v>0.78931455966829356</v>
      </c>
    </row>
    <row r="398" s="3" customFormat="1">
      <c r="A398" s="22" t="s">
        <v>447</v>
      </c>
      <c r="B398" s="23">
        <v>90.799999999999997</v>
      </c>
      <c r="C398" s="24">
        <f t="shared" si="7"/>
        <v>520.31957353744781</v>
      </c>
      <c r="D398" s="20">
        <v>3.58119190814781e-002</v>
      </c>
      <c r="E398" s="20" t="s">
        <v>314</v>
      </c>
      <c r="F398" s="25" t="s">
        <v>345</v>
      </c>
      <c r="G398" s="32" t="s">
        <v>422</v>
      </c>
      <c r="H398" s="21" t="s">
        <v>440</v>
      </c>
      <c r="I398" s="16">
        <v>57</v>
      </c>
      <c r="J398" s="16">
        <v>138</v>
      </c>
      <c r="K398" s="16" t="s">
        <v>29</v>
      </c>
      <c r="L398" s="26">
        <v>0.67500000000000004</v>
      </c>
      <c r="M398" s="26">
        <v>-5.7359999999999998</v>
      </c>
      <c r="N398" s="26">
        <v>34.43</v>
      </c>
      <c r="O398" s="26">
        <v>180.9459205</v>
      </c>
      <c r="P398" s="23">
        <v>72.38862499999999</v>
      </c>
      <c r="Q398" s="27">
        <v>0.22368176396693015</v>
      </c>
      <c r="R398" s="28">
        <v>0.59896090622604548</v>
      </c>
    </row>
    <row r="399" s="3" customFormat="1">
      <c r="A399" s="22" t="s">
        <v>448</v>
      </c>
      <c r="B399" s="23">
        <v>89.799999999999997</v>
      </c>
      <c r="C399" s="24">
        <f t="shared" si="7"/>
        <v>520.35538545652923</v>
      </c>
      <c r="D399" s="20">
        <v>3.58119190814781e-002</v>
      </c>
      <c r="E399" s="20" t="s">
        <v>314</v>
      </c>
      <c r="F399" s="25" t="s">
        <v>345</v>
      </c>
      <c r="G399" s="32" t="s">
        <v>422</v>
      </c>
      <c r="H399" s="21" t="s">
        <v>440</v>
      </c>
      <c r="I399" s="16">
        <v>57</v>
      </c>
      <c r="J399" s="16">
        <v>138</v>
      </c>
      <c r="K399" s="16" t="s">
        <v>29</v>
      </c>
      <c r="L399" s="26">
        <v>0.505</v>
      </c>
      <c r="M399" s="26">
        <v>-6.0789999999999997</v>
      </c>
      <c r="N399" s="26">
        <v>34.560000000000002</v>
      </c>
      <c r="O399" s="26">
        <v>195.56580969999999</v>
      </c>
      <c r="P399" s="23">
        <v>75.726315</v>
      </c>
      <c r="Q399" s="27">
        <v>0.13841512438124665</v>
      </c>
      <c r="R399" s="28">
        <v>0.42638723163740438</v>
      </c>
    </row>
    <row r="400" s="3" customFormat="1">
      <c r="A400" s="22" t="s">
        <v>449</v>
      </c>
      <c r="B400" s="23">
        <v>87.799999999999997</v>
      </c>
      <c r="C400" s="24">
        <f t="shared" si="7"/>
        <v>520.4270092946922</v>
      </c>
      <c r="D400" s="20">
        <v>3.58119190814781e-002</v>
      </c>
      <c r="E400" s="20" t="s">
        <v>314</v>
      </c>
      <c r="F400" s="25" t="s">
        <v>345</v>
      </c>
      <c r="G400" s="32" t="s">
        <v>422</v>
      </c>
      <c r="H400" s="21" t="s">
        <v>440</v>
      </c>
      <c r="I400" s="16">
        <v>57</v>
      </c>
      <c r="J400" s="16">
        <v>138</v>
      </c>
      <c r="K400" s="16" t="s">
        <v>29</v>
      </c>
      <c r="L400" s="26">
        <v>0.42899999999999999</v>
      </c>
      <c r="M400" s="26">
        <v>-6.3490000000000002</v>
      </c>
      <c r="N400" s="26">
        <v>33.719999999999999</v>
      </c>
      <c r="O400" s="26">
        <v>111.90845830000001</v>
      </c>
      <c r="P400" s="23">
        <v>77.582830000000001</v>
      </c>
      <c r="Q400" s="27">
        <v>5.0266962832151429e-002</v>
      </c>
      <c r="R400" s="28">
        <v>0.2810238825313065</v>
      </c>
    </row>
    <row r="401" s="3" customFormat="1">
      <c r="A401" s="22" t="s">
        <v>450</v>
      </c>
      <c r="B401" s="23">
        <v>86.799999999999997</v>
      </c>
      <c r="C401" s="24">
        <f t="shared" si="7"/>
        <v>520.46282121377362</v>
      </c>
      <c r="D401" s="20">
        <v>3.58119190814781e-002</v>
      </c>
      <c r="E401" s="20" t="s">
        <v>314</v>
      </c>
      <c r="F401" s="25" t="s">
        <v>345</v>
      </c>
      <c r="G401" s="32" t="s">
        <v>422</v>
      </c>
      <c r="H401" s="21" t="s">
        <v>440</v>
      </c>
      <c r="I401" s="16">
        <v>57</v>
      </c>
      <c r="J401" s="16">
        <v>138</v>
      </c>
      <c r="K401" s="16" t="s">
        <v>29</v>
      </c>
      <c r="L401" s="26">
        <v>0.29799999999999999</v>
      </c>
      <c r="M401" s="26">
        <v>-6.5129999999999999</v>
      </c>
      <c r="N401" s="26">
        <v>33.850000000000001</v>
      </c>
      <c r="O401" s="26">
        <v>126.8802396</v>
      </c>
      <c r="P401" s="23">
        <v>75.834924999999998</v>
      </c>
      <c r="Q401" s="27">
        <v>4.1843917181114833e-002</v>
      </c>
      <c r="R401" s="28">
        <v>0.27971750521748273</v>
      </c>
    </row>
    <row r="402" s="3" customFormat="1">
      <c r="A402" s="22" t="s">
        <v>451</v>
      </c>
      <c r="B402" s="23">
        <v>85.400000000000006</v>
      </c>
      <c r="C402" s="24">
        <f t="shared" si="7"/>
        <v>520.51295790048766</v>
      </c>
      <c r="D402" s="20">
        <v>3.58119190814781e-002</v>
      </c>
      <c r="E402" s="20" t="s">
        <v>314</v>
      </c>
      <c r="F402" s="25" t="s">
        <v>345</v>
      </c>
      <c r="G402" s="32" t="s">
        <v>422</v>
      </c>
      <c r="H402" s="21" t="s">
        <v>440</v>
      </c>
      <c r="I402" s="16">
        <v>57</v>
      </c>
      <c r="J402" s="16">
        <v>138</v>
      </c>
      <c r="K402" s="16" t="s">
        <v>29</v>
      </c>
      <c r="L402" s="26">
        <v>0.191</v>
      </c>
      <c r="M402" s="26">
        <v>-6.2530000000000001</v>
      </c>
      <c r="N402" s="26"/>
      <c r="O402" s="26"/>
      <c r="P402" s="26"/>
      <c r="Q402" s="20"/>
      <c r="R402" s="24"/>
    </row>
    <row r="403" s="3" customFormat="1">
      <c r="A403" s="22" t="s">
        <v>452</v>
      </c>
      <c r="B403" s="23">
        <v>84.700000000000003</v>
      </c>
      <c r="C403" s="24">
        <f t="shared" si="7"/>
        <v>520.53802624384468</v>
      </c>
      <c r="D403" s="20">
        <v>3.58119190814781e-002</v>
      </c>
      <c r="E403" s="20" t="s">
        <v>314</v>
      </c>
      <c r="F403" s="25" t="s">
        <v>345</v>
      </c>
      <c r="G403" s="32" t="s">
        <v>422</v>
      </c>
      <c r="H403" s="21" t="s">
        <v>440</v>
      </c>
      <c r="I403" s="16">
        <v>57</v>
      </c>
      <c r="J403" s="16">
        <v>138</v>
      </c>
      <c r="K403" s="16" t="s">
        <v>29</v>
      </c>
      <c r="L403" s="26">
        <v>-1.6e-002</v>
      </c>
      <c r="M403" s="26">
        <v>-6.4930000000000003</v>
      </c>
      <c r="N403" s="26"/>
      <c r="O403" s="26"/>
      <c r="P403" s="26"/>
      <c r="Q403" s="20"/>
      <c r="R403" s="24"/>
    </row>
    <row r="404" s="3" customFormat="1">
      <c r="A404" s="22" t="s">
        <v>453</v>
      </c>
      <c r="B404" s="23">
        <v>83.700000000000003</v>
      </c>
      <c r="C404" s="24">
        <f t="shared" si="7"/>
        <v>520.57383816292611</v>
      </c>
      <c r="D404" s="20">
        <v>3.58119190814781e-002</v>
      </c>
      <c r="E404" s="20" t="s">
        <v>314</v>
      </c>
      <c r="F404" s="25" t="s">
        <v>345</v>
      </c>
      <c r="G404" s="32" t="s">
        <v>422</v>
      </c>
      <c r="H404" s="21" t="s">
        <v>440</v>
      </c>
      <c r="I404" s="16">
        <v>57</v>
      </c>
      <c r="J404" s="16">
        <v>138</v>
      </c>
      <c r="K404" s="16" t="s">
        <v>29</v>
      </c>
      <c r="L404" s="26">
        <v>3.4000000000000002e-002</v>
      </c>
      <c r="M404" s="26">
        <v>-6.9530000000000003</v>
      </c>
      <c r="N404" s="26">
        <v>34.539999999999999</v>
      </c>
      <c r="O404" s="26">
        <v>210.07913199999999</v>
      </c>
      <c r="P404" s="23">
        <v>74.093462500000001</v>
      </c>
      <c r="Q404" s="27">
        <v>3.4755786881417582e-002</v>
      </c>
      <c r="R404" s="28">
        <v>0.13589015491894613</v>
      </c>
    </row>
    <row r="405" s="3" customFormat="1">
      <c r="A405" s="22" t="s">
        <v>454</v>
      </c>
      <c r="B405" s="23">
        <v>82.799999999999997</v>
      </c>
      <c r="C405" s="24">
        <f t="shared" si="7"/>
        <v>520.60606889009944</v>
      </c>
      <c r="D405" s="20">
        <v>3.58119190814781e-002</v>
      </c>
      <c r="E405" s="20" t="s">
        <v>314</v>
      </c>
      <c r="F405" s="25" t="s">
        <v>345</v>
      </c>
      <c r="G405" s="32" t="s">
        <v>422</v>
      </c>
      <c r="H405" s="21" t="s">
        <v>440</v>
      </c>
      <c r="I405" s="16">
        <v>57</v>
      </c>
      <c r="J405" s="16">
        <v>138</v>
      </c>
      <c r="K405" s="16" t="s">
        <v>29</v>
      </c>
      <c r="L405" s="26">
        <v>-7.5999999999999998e-002</v>
      </c>
      <c r="M405" s="26">
        <v>-6.9340000000000002</v>
      </c>
      <c r="N405" s="26">
        <v>34.030000000000001</v>
      </c>
      <c r="O405" s="26">
        <v>177.91665560000001</v>
      </c>
      <c r="P405" s="23">
        <v>72.793860000000009</v>
      </c>
      <c r="Q405" s="27">
        <v>3.6949439054519716e-002</v>
      </c>
      <c r="R405" s="28">
        <v>0.20655711665920609</v>
      </c>
    </row>
    <row r="406" s="3" customFormat="1">
      <c r="A406" s="22" t="s">
        <v>455</v>
      </c>
      <c r="B406" s="23">
        <v>82.200000000000003</v>
      </c>
      <c r="C406" s="24">
        <f t="shared" si="7"/>
        <v>520.62755604154836</v>
      </c>
      <c r="D406" s="20">
        <v>3.58119190814781e-002</v>
      </c>
      <c r="E406" s="20" t="s">
        <v>314</v>
      </c>
      <c r="F406" s="25" t="s">
        <v>345</v>
      </c>
      <c r="G406" s="32" t="s">
        <v>422</v>
      </c>
      <c r="H406" s="21" t="s">
        <v>440</v>
      </c>
      <c r="I406" s="16">
        <v>57</v>
      </c>
      <c r="J406" s="16">
        <v>138</v>
      </c>
      <c r="K406" s="16" t="s">
        <v>29</v>
      </c>
      <c r="L406" s="26">
        <v>5.9999999999999998e-002</v>
      </c>
      <c r="M406" s="26">
        <v>-6.1900000000000004</v>
      </c>
      <c r="N406" s="26">
        <v>34.479999999999997</v>
      </c>
      <c r="O406" s="26">
        <v>106.12752740000001</v>
      </c>
      <c r="P406" s="23">
        <v>80.538634999999985</v>
      </c>
      <c r="Q406" s="27">
        <v>3.6719940731650802e-002</v>
      </c>
      <c r="R406" s="28">
        <v>0.23861322320316625</v>
      </c>
    </row>
    <row r="407" s="3" customFormat="1">
      <c r="A407" s="22" t="s">
        <v>456</v>
      </c>
      <c r="B407" s="23">
        <v>81.200000000000003</v>
      </c>
      <c r="C407" s="24">
        <f t="shared" si="7"/>
        <v>520.66336796062978</v>
      </c>
      <c r="D407" s="20">
        <v>3.58119190814781e-002</v>
      </c>
      <c r="E407" s="20" t="s">
        <v>314</v>
      </c>
      <c r="F407" s="25" t="s">
        <v>345</v>
      </c>
      <c r="G407" s="32" t="s">
        <v>422</v>
      </c>
      <c r="H407" s="21" t="s">
        <v>440</v>
      </c>
      <c r="I407" s="16">
        <v>57</v>
      </c>
      <c r="J407" s="16">
        <v>138</v>
      </c>
      <c r="K407" s="16" t="s">
        <v>29</v>
      </c>
      <c r="L407" s="26">
        <v>-7.0000000000000001e-003</v>
      </c>
      <c r="M407" s="26">
        <v>-5.952</v>
      </c>
      <c r="N407" s="26"/>
      <c r="O407" s="26"/>
      <c r="P407" s="26"/>
      <c r="Q407" s="20"/>
      <c r="R407" s="24"/>
    </row>
    <row r="408" s="3" customFormat="1">
      <c r="A408" s="22" t="s">
        <v>457</v>
      </c>
      <c r="B408" s="23">
        <v>80.200000000000003</v>
      </c>
      <c r="C408" s="24">
        <f t="shared" si="7"/>
        <v>520.69917987971121</v>
      </c>
      <c r="D408" s="20">
        <v>3.58119190814781e-002</v>
      </c>
      <c r="E408" s="20" t="s">
        <v>314</v>
      </c>
      <c r="F408" s="25" t="s">
        <v>345</v>
      </c>
      <c r="G408" s="32" t="s">
        <v>422</v>
      </c>
      <c r="H408" s="21" t="s">
        <v>440</v>
      </c>
      <c r="I408" s="16">
        <v>57</v>
      </c>
      <c r="J408" s="16">
        <v>138</v>
      </c>
      <c r="K408" s="16" t="s">
        <v>29</v>
      </c>
      <c r="L408" s="23">
        <v>-0.224</v>
      </c>
      <c r="M408" s="23">
        <v>-6.5940000000000003</v>
      </c>
      <c r="N408" s="26"/>
      <c r="O408" s="26"/>
      <c r="P408" s="26"/>
      <c r="Q408" s="20"/>
      <c r="R408" s="24"/>
    </row>
    <row r="409" s="3" customFormat="1">
      <c r="A409" s="22" t="s">
        <v>458</v>
      </c>
      <c r="B409" s="23">
        <v>79.5</v>
      </c>
      <c r="C409" s="24">
        <f t="shared" si="7"/>
        <v>520.72424822306823</v>
      </c>
      <c r="D409" s="20">
        <v>3.58119190814781e-002</v>
      </c>
      <c r="E409" s="20" t="s">
        <v>314</v>
      </c>
      <c r="F409" s="25" t="s">
        <v>345</v>
      </c>
      <c r="G409" s="32" t="s">
        <v>422</v>
      </c>
      <c r="H409" s="21" t="s">
        <v>440</v>
      </c>
      <c r="I409" s="16">
        <v>57</v>
      </c>
      <c r="J409" s="16">
        <v>138</v>
      </c>
      <c r="K409" s="16" t="s">
        <v>29</v>
      </c>
      <c r="L409" s="26">
        <v>-0.159</v>
      </c>
      <c r="M409" s="26">
        <v>-6.1950000000000003</v>
      </c>
      <c r="N409" s="26"/>
      <c r="O409" s="26">
        <v>158.03876819999999</v>
      </c>
      <c r="P409" s="26"/>
      <c r="Q409" s="20"/>
      <c r="R409" s="24"/>
    </row>
    <row r="410" s="3" customFormat="1">
      <c r="A410" s="22" t="s">
        <v>459</v>
      </c>
      <c r="B410" s="23">
        <v>79.200000000000003</v>
      </c>
      <c r="C410" s="24">
        <f t="shared" si="7"/>
        <v>520.73499179879263</v>
      </c>
      <c r="D410" s="20">
        <v>3.58119190814781e-002</v>
      </c>
      <c r="E410" s="20" t="s">
        <v>314</v>
      </c>
      <c r="F410" s="25" t="s">
        <v>345</v>
      </c>
      <c r="G410" s="32" t="s">
        <v>422</v>
      </c>
      <c r="H410" s="21" t="s">
        <v>440</v>
      </c>
      <c r="I410" s="16">
        <v>57</v>
      </c>
      <c r="J410" s="16">
        <v>138</v>
      </c>
      <c r="K410" s="16" t="s">
        <v>29</v>
      </c>
      <c r="L410" s="26">
        <v>-0.17999999999999999</v>
      </c>
      <c r="M410" s="26">
        <v>-6.1289999999999996</v>
      </c>
      <c r="N410" s="26"/>
      <c r="O410" s="26"/>
      <c r="P410" s="26"/>
      <c r="Q410" s="20"/>
      <c r="R410" s="24"/>
    </row>
    <row r="411" s="3" customFormat="1">
      <c r="A411" s="22" t="s">
        <v>460</v>
      </c>
      <c r="B411" s="23">
        <v>78.549999999999997</v>
      </c>
      <c r="C411" s="24">
        <f t="shared" si="7"/>
        <v>520.75826954619561</v>
      </c>
      <c r="D411" s="20">
        <v>3.58119190814781e-002</v>
      </c>
      <c r="E411" s="20" t="s">
        <v>314</v>
      </c>
      <c r="F411" s="25" t="s">
        <v>345</v>
      </c>
      <c r="G411" s="32" t="s">
        <v>422</v>
      </c>
      <c r="H411" s="21" t="s">
        <v>440</v>
      </c>
      <c r="I411" s="16">
        <v>57</v>
      </c>
      <c r="J411" s="16">
        <v>138</v>
      </c>
      <c r="K411" s="16" t="s">
        <v>29</v>
      </c>
      <c r="L411" s="26">
        <v>-0.17599999999999999</v>
      </c>
      <c r="M411" s="26">
        <v>-6.5460000000000003</v>
      </c>
      <c r="N411" s="26">
        <v>34.109999999999999</v>
      </c>
      <c r="O411" s="26">
        <v>68.727221189999995</v>
      </c>
      <c r="P411" s="23">
        <v>80.910255500000005</v>
      </c>
      <c r="Q411" s="27">
        <v>7.6061655492441396e-003</v>
      </c>
      <c r="R411" s="28">
        <v>0.17242579463346788</v>
      </c>
    </row>
    <row r="412" s="3" customFormat="1">
      <c r="A412" s="22" t="s">
        <v>461</v>
      </c>
      <c r="B412" s="23">
        <v>78.349999999999994</v>
      </c>
      <c r="C412" s="24">
        <f t="shared" si="7"/>
        <v>520.76543193001191</v>
      </c>
      <c r="D412" s="20">
        <v>3.58119190814781e-002</v>
      </c>
      <c r="E412" s="20" t="s">
        <v>314</v>
      </c>
      <c r="F412" s="25" t="s">
        <v>345</v>
      </c>
      <c r="G412" s="32" t="s">
        <v>422</v>
      </c>
      <c r="H412" s="21" t="s">
        <v>440</v>
      </c>
      <c r="I412" s="16">
        <v>57</v>
      </c>
      <c r="J412" s="16">
        <v>138</v>
      </c>
      <c r="K412" s="16" t="s">
        <v>29</v>
      </c>
      <c r="L412" s="26">
        <v>-0.126</v>
      </c>
      <c r="M412" s="26">
        <v>-6.7560000000000002</v>
      </c>
      <c r="N412" s="26"/>
      <c r="O412" s="26"/>
      <c r="P412" s="26"/>
      <c r="Q412" s="20"/>
      <c r="R412" s="24"/>
    </row>
    <row r="413" s="3" customFormat="1">
      <c r="A413" s="22" t="s">
        <v>462</v>
      </c>
      <c r="B413" s="23">
        <v>78</v>
      </c>
      <c r="C413" s="24">
        <f t="shared" si="7"/>
        <v>520.77796610169048</v>
      </c>
      <c r="D413" s="20">
        <v>3.58119190814781e-002</v>
      </c>
      <c r="E413" s="20" t="s">
        <v>314</v>
      </c>
      <c r="F413" s="25" t="s">
        <v>345</v>
      </c>
      <c r="G413" s="32" t="s">
        <v>422</v>
      </c>
      <c r="H413" s="21" t="s">
        <v>440</v>
      </c>
      <c r="I413" s="16">
        <v>57</v>
      </c>
      <c r="J413" s="16">
        <v>138</v>
      </c>
      <c r="K413" s="16" t="s">
        <v>29</v>
      </c>
      <c r="L413" s="23">
        <v>-0.307</v>
      </c>
      <c r="M413" s="23">
        <v>-6.0800000000000001</v>
      </c>
      <c r="N413" s="26"/>
      <c r="O413" s="26"/>
      <c r="P413" s="26"/>
      <c r="Q413" s="20"/>
      <c r="R413" s="24"/>
    </row>
    <row r="414" s="3" customFormat="1">
      <c r="A414" s="22" t="s">
        <v>463</v>
      </c>
      <c r="B414" s="23">
        <v>77</v>
      </c>
      <c r="C414" s="24">
        <f t="shared" si="7"/>
        <v>520.81377802077191</v>
      </c>
      <c r="D414" s="20">
        <v>3.58119190814781e-002</v>
      </c>
      <c r="E414" s="20" t="s">
        <v>314</v>
      </c>
      <c r="F414" s="25" t="s">
        <v>345</v>
      </c>
      <c r="G414" s="32" t="s">
        <v>422</v>
      </c>
      <c r="H414" s="21" t="s">
        <v>440</v>
      </c>
      <c r="I414" s="16">
        <v>57</v>
      </c>
      <c r="J414" s="16">
        <v>138</v>
      </c>
      <c r="K414" s="16" t="s">
        <v>29</v>
      </c>
      <c r="L414" s="23">
        <v>-0.28999999999999998</v>
      </c>
      <c r="M414" s="23">
        <v>-6.3010000000000002</v>
      </c>
      <c r="N414" s="26"/>
      <c r="O414" s="26"/>
      <c r="P414" s="26"/>
      <c r="Q414" s="20"/>
      <c r="R414" s="24"/>
    </row>
    <row r="415" s="3" customFormat="1">
      <c r="A415" s="22" t="s">
        <v>464</v>
      </c>
      <c r="B415" s="23">
        <v>76.400000000000006</v>
      </c>
      <c r="C415" s="24">
        <f t="shared" si="7"/>
        <v>520.83526517222083</v>
      </c>
      <c r="D415" s="20">
        <v>3.58119190814781e-002</v>
      </c>
      <c r="E415" s="20" t="s">
        <v>314</v>
      </c>
      <c r="F415" s="25" t="s">
        <v>345</v>
      </c>
      <c r="G415" s="32" t="s">
        <v>422</v>
      </c>
      <c r="H415" s="21" t="s">
        <v>440</v>
      </c>
      <c r="I415" s="16">
        <v>57</v>
      </c>
      <c r="J415" s="16">
        <v>138</v>
      </c>
      <c r="K415" s="16" t="s">
        <v>29</v>
      </c>
      <c r="L415" s="26">
        <v>-0.106</v>
      </c>
      <c r="M415" s="26">
        <v>-6.327</v>
      </c>
      <c r="N415" s="26">
        <v>34.170000000000002</v>
      </c>
      <c r="O415" s="26">
        <v>47.73833715</v>
      </c>
      <c r="P415" s="23">
        <v>83.21807299999999</v>
      </c>
      <c r="Q415" s="27">
        <v>9.1392807918044688e-003</v>
      </c>
      <c r="R415" s="28">
        <v>0.13851036133278355</v>
      </c>
    </row>
    <row r="416" s="3" customFormat="1">
      <c r="A416" s="22" t="s">
        <v>465</v>
      </c>
      <c r="B416" s="23">
        <v>75.599999999999994</v>
      </c>
      <c r="C416" s="24">
        <f t="shared" si="7"/>
        <v>520.86391470748606</v>
      </c>
      <c r="D416" s="20">
        <v>3.58119190814781e-002</v>
      </c>
      <c r="E416" s="20" t="s">
        <v>314</v>
      </c>
      <c r="F416" s="25" t="s">
        <v>345</v>
      </c>
      <c r="G416" s="32" t="s">
        <v>422</v>
      </c>
      <c r="H416" s="21" t="s">
        <v>440</v>
      </c>
      <c r="I416" s="16">
        <v>57</v>
      </c>
      <c r="J416" s="16">
        <v>138</v>
      </c>
      <c r="K416" s="16" t="s">
        <v>29</v>
      </c>
      <c r="L416" s="26">
        <v>-0.21099999999999999</v>
      </c>
      <c r="M416" s="26">
        <v>-6.5549999999999997</v>
      </c>
      <c r="N416" s="26">
        <v>31.289999999999999</v>
      </c>
      <c r="O416" s="26">
        <v>181.44166150000001</v>
      </c>
      <c r="P416" s="23">
        <v>74.515249999999995</v>
      </c>
      <c r="Q416" s="27">
        <v>4.4383231655168484e-002</v>
      </c>
      <c r="R416" s="28">
        <v>0.16416614869453056</v>
      </c>
    </row>
    <row r="417" s="3" customFormat="1">
      <c r="A417" s="22" t="s">
        <v>466</v>
      </c>
      <c r="B417" s="23">
        <v>73.5</v>
      </c>
      <c r="C417" s="24">
        <f t="shared" si="7"/>
        <v>520.93911973755712</v>
      </c>
      <c r="D417" s="20">
        <v>3.58119190814781e-002</v>
      </c>
      <c r="E417" s="20" t="s">
        <v>314</v>
      </c>
      <c r="F417" s="25" t="s">
        <v>345</v>
      </c>
      <c r="G417" s="32" t="s">
        <v>422</v>
      </c>
      <c r="H417" s="21" t="s">
        <v>440</v>
      </c>
      <c r="I417" s="16">
        <v>57</v>
      </c>
      <c r="J417" s="16">
        <v>138</v>
      </c>
      <c r="K417" s="16" t="s">
        <v>29</v>
      </c>
      <c r="L417" s="26">
        <v>-1.4450000000000001</v>
      </c>
      <c r="M417" s="26">
        <v>-6.7939999999999996</v>
      </c>
      <c r="N417" s="26">
        <v>29.350000000000001</v>
      </c>
      <c r="O417" s="26">
        <v>83.526482689999995</v>
      </c>
      <c r="P417" s="23">
        <v>81.426190999999989</v>
      </c>
      <c r="Q417" s="27">
        <v>1.1912336669143032e-002</v>
      </c>
      <c r="R417" s="28">
        <v>0.65204175385624141</v>
      </c>
    </row>
    <row r="418" s="3" customFormat="1">
      <c r="A418" s="22" t="s">
        <v>467</v>
      </c>
      <c r="B418" s="23">
        <v>72.700000000000003</v>
      </c>
      <c r="C418" s="24">
        <f t="shared" si="7"/>
        <v>520.96776927282235</v>
      </c>
      <c r="D418" s="20">
        <v>3.58119190814781e-002</v>
      </c>
      <c r="E418" s="20" t="s">
        <v>314</v>
      </c>
      <c r="F418" s="25" t="s">
        <v>345</v>
      </c>
      <c r="G418" s="32" t="s">
        <v>422</v>
      </c>
      <c r="H418" s="21" t="s">
        <v>440</v>
      </c>
      <c r="I418" s="16">
        <v>57</v>
      </c>
      <c r="J418" s="16">
        <v>138</v>
      </c>
      <c r="K418" s="16" t="s">
        <v>29</v>
      </c>
      <c r="L418" s="26">
        <v>-1.3120000000000001</v>
      </c>
      <c r="M418" s="26">
        <v>-6.8840000000000003</v>
      </c>
      <c r="N418" s="26">
        <v>29.77</v>
      </c>
      <c r="O418" s="26">
        <v>87.989229910000006</v>
      </c>
      <c r="P418" s="23">
        <v>78.713307499999999</v>
      </c>
      <c r="Q418" s="27">
        <v>1.163450147995365e-002</v>
      </c>
      <c r="R418" s="28">
        <v>0.1209574362916291</v>
      </c>
    </row>
    <row r="419" s="3" customFormat="1">
      <c r="A419" s="22" t="s">
        <v>468</v>
      </c>
      <c r="B419" s="23">
        <v>72.099999999999994</v>
      </c>
      <c r="C419" s="24">
        <f t="shared" si="7"/>
        <v>520.98925642427128</v>
      </c>
      <c r="D419" s="20">
        <v>3.58119190814781e-002</v>
      </c>
      <c r="E419" s="20" t="s">
        <v>314</v>
      </c>
      <c r="F419" s="25" t="s">
        <v>345</v>
      </c>
      <c r="G419" s="32" t="s">
        <v>422</v>
      </c>
      <c r="H419" s="21" t="s">
        <v>440</v>
      </c>
      <c r="I419" s="16">
        <v>57</v>
      </c>
      <c r="J419" s="16">
        <v>138</v>
      </c>
      <c r="K419" s="16" t="s">
        <v>29</v>
      </c>
      <c r="L419" s="26">
        <v>-1.375</v>
      </c>
      <c r="M419" s="26">
        <v>-6.3310000000000004</v>
      </c>
      <c r="N419" s="26"/>
      <c r="O419" s="26"/>
      <c r="P419" s="26"/>
      <c r="Q419" s="20"/>
      <c r="R419" s="24"/>
    </row>
    <row r="420" s="3" customFormat="1">
      <c r="A420" s="22" t="s">
        <v>469</v>
      </c>
      <c r="B420" s="23">
        <v>71.799999999999997</v>
      </c>
      <c r="C420" s="19">
        <v>521</v>
      </c>
      <c r="D420" s="20">
        <v>3.58119190814781e-002</v>
      </c>
      <c r="E420" s="20" t="s">
        <v>314</v>
      </c>
      <c r="F420" s="25" t="s">
        <v>345</v>
      </c>
      <c r="G420" s="32" t="s">
        <v>422</v>
      </c>
      <c r="H420" s="21" t="s">
        <v>440</v>
      </c>
      <c r="I420" s="16">
        <v>57</v>
      </c>
      <c r="J420" s="16">
        <v>138</v>
      </c>
      <c r="K420" s="16" t="s">
        <v>29</v>
      </c>
      <c r="L420" s="26">
        <v>-1.409</v>
      </c>
      <c r="M420" s="26">
        <v>-6.5780000000000003</v>
      </c>
      <c r="N420" s="26">
        <v>28.609999999999999</v>
      </c>
      <c r="O420" s="26">
        <v>173.9867644</v>
      </c>
      <c r="P420" s="26">
        <v>58.102199999999996</v>
      </c>
      <c r="Q420" s="20">
        <v>1.e-002</v>
      </c>
      <c r="R420" s="24">
        <v>0.14999999999999999</v>
      </c>
    </row>
    <row r="421" s="3" customFormat="1">
      <c r="A421" s="22" t="s">
        <v>470</v>
      </c>
      <c r="B421" s="23">
        <v>71.200000000000003</v>
      </c>
      <c r="C421" s="24">
        <f t="shared" si="7"/>
        <v>521.02148715144892</v>
      </c>
      <c r="D421" s="20">
        <v>3.58119190814781e-002</v>
      </c>
      <c r="E421" s="20" t="s">
        <v>471</v>
      </c>
      <c r="F421" s="25" t="s">
        <v>345</v>
      </c>
      <c r="G421" s="21" t="s">
        <v>472</v>
      </c>
      <c r="H421" s="16"/>
      <c r="I421" s="16">
        <v>36</v>
      </c>
      <c r="J421" s="16">
        <v>126</v>
      </c>
      <c r="K421" s="16" t="s">
        <v>29</v>
      </c>
      <c r="L421" s="26">
        <v>-1.627</v>
      </c>
      <c r="M421" s="26">
        <v>-6.6539999999999999</v>
      </c>
      <c r="N421" s="26">
        <v>27.690000000000001</v>
      </c>
      <c r="O421" s="26">
        <v>204.17232079999999</v>
      </c>
      <c r="P421" s="23">
        <v>68.988065000000006</v>
      </c>
      <c r="Q421" s="27">
        <v>0.28195772597699292</v>
      </c>
      <c r="R421" s="28">
        <v>0.84552419930519196</v>
      </c>
    </row>
    <row r="422" s="3" customFormat="1">
      <c r="A422" s="22" t="s">
        <v>473</v>
      </c>
      <c r="B422" s="23">
        <v>70.5</v>
      </c>
      <c r="C422" s="24">
        <f t="shared" si="7"/>
        <v>521.04655549480594</v>
      </c>
      <c r="D422" s="20">
        <v>3.58119190814781e-002</v>
      </c>
      <c r="E422" s="20" t="s">
        <v>471</v>
      </c>
      <c r="F422" s="25" t="s">
        <v>345</v>
      </c>
      <c r="G422" s="21" t="s">
        <v>472</v>
      </c>
      <c r="H422" s="16"/>
      <c r="I422" s="16">
        <v>36</v>
      </c>
      <c r="J422" s="16">
        <v>126</v>
      </c>
      <c r="K422" s="16" t="s">
        <v>29</v>
      </c>
      <c r="L422" s="26">
        <v>-1.639</v>
      </c>
      <c r="M422" s="26">
        <v>-6.6829999999999998</v>
      </c>
      <c r="N422" s="26"/>
      <c r="O422" s="26"/>
      <c r="P422" s="26"/>
      <c r="Q422" s="20"/>
      <c r="R422" s="24"/>
    </row>
    <row r="423" s="3" customFormat="1">
      <c r="A423" s="22" t="s">
        <v>474</v>
      </c>
      <c r="B423" s="23">
        <v>70</v>
      </c>
      <c r="C423" s="24">
        <f t="shared" si="7"/>
        <v>521.06446145434666</v>
      </c>
      <c r="D423" s="20">
        <v>3.58119190814781e-002</v>
      </c>
      <c r="E423" s="20" t="s">
        <v>471</v>
      </c>
      <c r="F423" s="25" t="s">
        <v>345</v>
      </c>
      <c r="G423" s="21" t="s">
        <v>472</v>
      </c>
      <c r="H423" s="16"/>
      <c r="I423" s="16">
        <v>36</v>
      </c>
      <c r="J423" s="16">
        <v>126</v>
      </c>
      <c r="K423" s="16" t="s">
        <v>29</v>
      </c>
      <c r="L423" s="26">
        <v>-1.645</v>
      </c>
      <c r="M423" s="26">
        <v>-6.5780000000000003</v>
      </c>
      <c r="N423" s="26">
        <v>28.75</v>
      </c>
      <c r="O423" s="26">
        <v>129.89774980000001</v>
      </c>
      <c r="P423" s="23">
        <v>72.764015000000001</v>
      </c>
      <c r="Q423" s="27">
        <v>0.15810656002551332</v>
      </c>
      <c r="R423" s="28">
        <v>0.53094266525522371</v>
      </c>
    </row>
    <row r="424" s="3" customFormat="1">
      <c r="A424" s="22" t="s">
        <v>475</v>
      </c>
      <c r="B424" s="23">
        <v>67.099999999999994</v>
      </c>
      <c r="C424" s="24">
        <f t="shared" si="7"/>
        <v>521.16831601968295</v>
      </c>
      <c r="D424" s="20">
        <v>3.58119190814781e-002</v>
      </c>
      <c r="E424" s="20" t="s">
        <v>471</v>
      </c>
      <c r="F424" s="25" t="s">
        <v>345</v>
      </c>
      <c r="G424" s="21" t="s">
        <v>472</v>
      </c>
      <c r="H424" s="16"/>
      <c r="I424" s="16">
        <v>36</v>
      </c>
      <c r="J424" s="16">
        <v>126</v>
      </c>
      <c r="K424" s="16" t="s">
        <v>29</v>
      </c>
      <c r="L424" s="23">
        <v>-1.714</v>
      </c>
      <c r="M424" s="23">
        <v>-7.4039999999999999</v>
      </c>
      <c r="N424" s="26">
        <v>27.350000000000001</v>
      </c>
      <c r="O424" s="26">
        <v>91.295023319999999</v>
      </c>
      <c r="P424" s="23">
        <v>77.948293499999991</v>
      </c>
      <c r="Q424" s="27">
        <v>1.0642056403312327e-002</v>
      </c>
      <c r="R424" s="28">
        <v>0.12472991535662205</v>
      </c>
    </row>
    <row r="425" s="3" customFormat="1">
      <c r="A425" s="22" t="s">
        <v>476</v>
      </c>
      <c r="B425" s="23">
        <v>66</v>
      </c>
      <c r="C425" s="24">
        <f t="shared" si="7"/>
        <v>521.20770913067258</v>
      </c>
      <c r="D425" s="20">
        <v>3.58119190814781e-002</v>
      </c>
      <c r="E425" s="20" t="s">
        <v>471</v>
      </c>
      <c r="F425" s="25" t="s">
        <v>345</v>
      </c>
      <c r="G425" s="21" t="s">
        <v>472</v>
      </c>
      <c r="H425" s="16"/>
      <c r="I425" s="16">
        <v>36</v>
      </c>
      <c r="J425" s="16">
        <v>126</v>
      </c>
      <c r="K425" s="16" t="s">
        <v>207</v>
      </c>
      <c r="L425" s="23">
        <v>-1.7150000000000001</v>
      </c>
      <c r="M425" s="23">
        <v>-7.1959999999999997</v>
      </c>
      <c r="N425" s="26"/>
      <c r="O425" s="26"/>
      <c r="P425" s="26"/>
      <c r="Q425" s="20"/>
      <c r="R425" s="24"/>
    </row>
    <row r="426" s="3" customFormat="1">
      <c r="A426" s="22" t="s">
        <v>477</v>
      </c>
      <c r="B426" s="23">
        <v>65.5</v>
      </c>
      <c r="C426" s="24">
        <f t="shared" si="7"/>
        <v>521.2256150902133</v>
      </c>
      <c r="D426" s="20">
        <v>3.58119190814781e-002</v>
      </c>
      <c r="E426" s="20" t="s">
        <v>471</v>
      </c>
      <c r="F426" s="25" t="s">
        <v>345</v>
      </c>
      <c r="G426" s="21" t="s">
        <v>472</v>
      </c>
      <c r="H426" s="16"/>
      <c r="I426" s="16">
        <v>36</v>
      </c>
      <c r="J426" s="16">
        <v>126</v>
      </c>
      <c r="K426" s="16" t="s">
        <v>207</v>
      </c>
      <c r="L426" s="23">
        <v>-1.8440000000000001</v>
      </c>
      <c r="M426" s="23">
        <v>-6.9960000000000004</v>
      </c>
      <c r="N426" s="26">
        <v>26.77</v>
      </c>
      <c r="O426" s="26">
        <v>74.546138740000004</v>
      </c>
      <c r="P426" s="23">
        <v>76.049655000000016</v>
      </c>
      <c r="Q426" s="27">
        <v>9.0893021911442648e-002</v>
      </c>
      <c r="R426" s="28">
        <v>0.28662386302835741</v>
      </c>
    </row>
    <row r="427" s="3" customFormat="1">
      <c r="A427" s="22" t="s">
        <v>478</v>
      </c>
      <c r="B427" s="23">
        <v>65</v>
      </c>
      <c r="C427" s="24">
        <f t="shared" si="7"/>
        <v>521.24352104975401</v>
      </c>
      <c r="D427" s="20">
        <v>3.58119190814781e-002</v>
      </c>
      <c r="E427" s="20" t="s">
        <v>471</v>
      </c>
      <c r="F427" s="25" t="s">
        <v>345</v>
      </c>
      <c r="G427" s="21" t="s">
        <v>472</v>
      </c>
      <c r="H427" s="16"/>
      <c r="I427" s="16">
        <v>36</v>
      </c>
      <c r="J427" s="16">
        <v>126</v>
      </c>
      <c r="K427" s="16" t="s">
        <v>207</v>
      </c>
      <c r="L427" s="23">
        <v>-1.962</v>
      </c>
      <c r="M427" s="23">
        <v>-6.9029999999999996</v>
      </c>
      <c r="N427" s="26">
        <v>26.829999999999998</v>
      </c>
      <c r="O427" s="26">
        <v>67.210210619999998</v>
      </c>
      <c r="P427" s="23">
        <v>73.669465000000002</v>
      </c>
      <c r="Q427" s="27">
        <v>0.12820370162826814</v>
      </c>
      <c r="R427" s="28">
        <v>0.27613022141092664</v>
      </c>
    </row>
    <row r="428" s="3" customFormat="1">
      <c r="A428" s="22" t="s">
        <v>479</v>
      </c>
      <c r="B428" s="23">
        <v>64.5</v>
      </c>
      <c r="C428" s="24">
        <f t="shared" si="7"/>
        <v>521.26142700929472</v>
      </c>
      <c r="D428" s="20">
        <v>3.58119190814781e-002</v>
      </c>
      <c r="E428" s="20" t="s">
        <v>471</v>
      </c>
      <c r="F428" s="25" t="s">
        <v>345</v>
      </c>
      <c r="G428" s="21" t="s">
        <v>472</v>
      </c>
      <c r="H428" s="16"/>
      <c r="I428" s="16">
        <v>36</v>
      </c>
      <c r="J428" s="16">
        <v>126</v>
      </c>
      <c r="K428" s="16" t="s">
        <v>207</v>
      </c>
      <c r="L428" s="23">
        <v>-1.8939999999999999</v>
      </c>
      <c r="M428" s="23">
        <v>-6.2169999999999996</v>
      </c>
      <c r="N428" s="26"/>
      <c r="O428" s="26"/>
      <c r="P428" s="26"/>
      <c r="Q428" s="20"/>
      <c r="R428" s="24"/>
    </row>
    <row r="429" s="3" customFormat="1">
      <c r="A429" s="22" t="s">
        <v>480</v>
      </c>
      <c r="B429" s="23">
        <v>64</v>
      </c>
      <c r="C429" s="24">
        <f t="shared" si="7"/>
        <v>521.27933296883543</v>
      </c>
      <c r="D429" s="20">
        <v>3.58119190814781e-002</v>
      </c>
      <c r="E429" s="20" t="s">
        <v>471</v>
      </c>
      <c r="F429" s="25" t="s">
        <v>345</v>
      </c>
      <c r="G429" s="21" t="s">
        <v>472</v>
      </c>
      <c r="H429" s="16"/>
      <c r="I429" s="16">
        <v>36</v>
      </c>
      <c r="J429" s="16">
        <v>126</v>
      </c>
      <c r="K429" s="16" t="s">
        <v>207</v>
      </c>
      <c r="L429" s="23">
        <v>-2.0470000000000002</v>
      </c>
      <c r="M429" s="23">
        <v>-7.1399999999999997</v>
      </c>
      <c r="N429" s="26"/>
      <c r="O429" s="26"/>
      <c r="P429" s="26"/>
      <c r="Q429" s="20"/>
      <c r="R429" s="24"/>
    </row>
    <row r="430" s="3" customFormat="1">
      <c r="A430" s="22" t="s">
        <v>481</v>
      </c>
      <c r="B430" s="23">
        <v>63.5</v>
      </c>
      <c r="C430" s="24">
        <f t="shared" si="7"/>
        <v>521.29723892837615</v>
      </c>
      <c r="D430" s="20">
        <v>3.58119190814781e-002</v>
      </c>
      <c r="E430" s="20" t="s">
        <v>471</v>
      </c>
      <c r="F430" s="25" t="s">
        <v>345</v>
      </c>
      <c r="G430" s="21" t="s">
        <v>472</v>
      </c>
      <c r="H430" s="16"/>
      <c r="I430" s="16">
        <v>36</v>
      </c>
      <c r="J430" s="16">
        <v>126</v>
      </c>
      <c r="K430" s="16" t="s">
        <v>207</v>
      </c>
      <c r="L430" s="23">
        <v>-1.976</v>
      </c>
      <c r="M430" s="23">
        <v>-6.2939999999999996</v>
      </c>
      <c r="N430" s="26"/>
      <c r="O430" s="26"/>
      <c r="P430" s="26"/>
      <c r="Q430" s="20"/>
      <c r="R430" s="24"/>
    </row>
    <row r="431" s="3" customFormat="1">
      <c r="A431" s="22" t="s">
        <v>482</v>
      </c>
      <c r="B431" s="23">
        <v>60</v>
      </c>
      <c r="C431" s="24">
        <f t="shared" si="7"/>
        <v>521.42258064516136</v>
      </c>
      <c r="D431" s="20">
        <v>3.58119190814781e-002</v>
      </c>
      <c r="E431" s="20" t="s">
        <v>471</v>
      </c>
      <c r="F431" s="25" t="s">
        <v>345</v>
      </c>
      <c r="G431" s="21" t="s">
        <v>472</v>
      </c>
      <c r="H431" s="16"/>
      <c r="I431" s="16">
        <v>36</v>
      </c>
      <c r="J431" s="16">
        <v>126</v>
      </c>
      <c r="K431" s="16" t="s">
        <v>207</v>
      </c>
      <c r="L431" s="23">
        <v>-1.9910000000000001</v>
      </c>
      <c r="M431" s="23">
        <v>-7.0999999999999996</v>
      </c>
      <c r="N431" s="26">
        <v>27.039999999999999</v>
      </c>
      <c r="O431" s="26">
        <v>134.51253510000001</v>
      </c>
      <c r="P431" s="23">
        <v>72.610675000000001</v>
      </c>
      <c r="Q431" s="27">
        <v>0.13516263491491559</v>
      </c>
      <c r="R431" s="28">
        <v>0.40984916979360281</v>
      </c>
    </row>
    <row r="432" s="3" customFormat="1">
      <c r="A432" s="22" t="s">
        <v>483</v>
      </c>
      <c r="B432" s="23">
        <v>53.5</v>
      </c>
      <c r="C432" s="24">
        <f t="shared" si="7"/>
        <v>521.65535811919096</v>
      </c>
      <c r="D432" s="20">
        <v>3.58119190814781e-002</v>
      </c>
      <c r="E432" s="20" t="s">
        <v>471</v>
      </c>
      <c r="F432" s="25" t="s">
        <v>345</v>
      </c>
      <c r="G432" s="21" t="s">
        <v>472</v>
      </c>
      <c r="H432" s="16"/>
      <c r="I432" s="16">
        <v>36</v>
      </c>
      <c r="J432" s="16">
        <v>126</v>
      </c>
      <c r="K432" s="16" t="s">
        <v>207</v>
      </c>
      <c r="L432" s="23">
        <v>-2.016</v>
      </c>
      <c r="M432" s="23">
        <v>-7.1790000000000003</v>
      </c>
      <c r="N432" s="26">
        <v>28.809999999999999</v>
      </c>
      <c r="O432" s="26">
        <v>179.15565910000001</v>
      </c>
      <c r="P432" s="23">
        <v>73.096319999999992</v>
      </c>
      <c r="Q432" s="27">
        <v>0.11405000634598297</v>
      </c>
      <c r="R432" s="28">
        <v>0.40156943488072433</v>
      </c>
    </row>
    <row r="433" s="3" customFormat="1">
      <c r="A433" s="22" t="s">
        <v>484</v>
      </c>
      <c r="B433" s="23">
        <v>52.5</v>
      </c>
      <c r="C433" s="24">
        <f t="shared" si="7"/>
        <v>521.69117003827239</v>
      </c>
      <c r="D433" s="20">
        <v>3.58119190814781e-002</v>
      </c>
      <c r="E433" s="20" t="s">
        <v>471</v>
      </c>
      <c r="F433" s="25" t="s">
        <v>345</v>
      </c>
      <c r="G433" s="21" t="s">
        <v>472</v>
      </c>
      <c r="H433" s="16"/>
      <c r="I433" s="16">
        <v>36</v>
      </c>
      <c r="J433" s="16">
        <v>126</v>
      </c>
      <c r="K433" s="16" t="s">
        <v>207</v>
      </c>
      <c r="L433" s="23">
        <v>-1.8620000000000001</v>
      </c>
      <c r="M433" s="23">
        <v>-6.8419999999999996</v>
      </c>
      <c r="N433" s="26">
        <v>28.059999999999999</v>
      </c>
      <c r="O433" s="26">
        <v>68.340413220000002</v>
      </c>
      <c r="P433" s="23">
        <v>79.644023500000003</v>
      </c>
      <c r="Q433" s="27">
        <v>1.0001400484440299e-002</v>
      </c>
      <c r="R433" s="28">
        <v>0.52629310344827585</v>
      </c>
    </row>
    <row r="434" s="3" customFormat="1">
      <c r="A434" s="22" t="s">
        <v>485</v>
      </c>
      <c r="B434" s="23">
        <v>51.5</v>
      </c>
      <c r="C434" s="24">
        <f t="shared" si="7"/>
        <v>521.72698195735381</v>
      </c>
      <c r="D434" s="20">
        <v>3.58119190814781e-002</v>
      </c>
      <c r="E434" s="20" t="s">
        <v>471</v>
      </c>
      <c r="F434" s="25" t="s">
        <v>345</v>
      </c>
      <c r="G434" s="21" t="s">
        <v>472</v>
      </c>
      <c r="H434" s="16"/>
      <c r="I434" s="16">
        <v>36</v>
      </c>
      <c r="J434" s="16">
        <v>126</v>
      </c>
      <c r="K434" s="16" t="s">
        <v>207</v>
      </c>
      <c r="L434" s="23">
        <v>-1.5289999999999999</v>
      </c>
      <c r="M434" s="23">
        <v>-7.3399999999999999</v>
      </c>
      <c r="N434" s="26">
        <v>28.879999999999999</v>
      </c>
      <c r="O434" s="26">
        <v>53.560135789999997</v>
      </c>
      <c r="P434" s="23">
        <v>68.720294999999993</v>
      </c>
      <c r="Q434" s="27">
        <v>0.17743579262892567</v>
      </c>
      <c r="R434" s="28">
        <v>0.27102072657678222</v>
      </c>
    </row>
    <row r="435" s="3" customFormat="1">
      <c r="A435" s="22" t="s">
        <v>486</v>
      </c>
      <c r="B435" s="23">
        <v>49.700000000000003</v>
      </c>
      <c r="C435" s="24">
        <f t="shared" si="7"/>
        <v>521.79144341170047</v>
      </c>
      <c r="D435" s="20">
        <v>3.58119190814781e-002</v>
      </c>
      <c r="E435" s="20" t="s">
        <v>471</v>
      </c>
      <c r="F435" s="25" t="s">
        <v>345</v>
      </c>
      <c r="G435" s="21" t="s">
        <v>472</v>
      </c>
      <c r="H435" s="16"/>
      <c r="I435" s="16">
        <v>36</v>
      </c>
      <c r="J435" s="16">
        <v>126</v>
      </c>
      <c r="K435" s="16" t="s">
        <v>207</v>
      </c>
      <c r="L435" s="23">
        <v>-1.466</v>
      </c>
      <c r="M435" s="23">
        <v>-7.008</v>
      </c>
      <c r="N435" s="26">
        <v>28.870000000000001</v>
      </c>
      <c r="O435" s="26">
        <v>19.39275099</v>
      </c>
      <c r="P435" s="23">
        <v>69.897824999999997</v>
      </c>
      <c r="Q435" s="27">
        <v>7.6631076189495523e-002</v>
      </c>
      <c r="R435" s="28">
        <v>0.48202005354611793</v>
      </c>
    </row>
    <row r="436" s="3" customFormat="1">
      <c r="A436" s="22" t="s">
        <v>487</v>
      </c>
      <c r="B436" s="23">
        <v>47.649999999999999</v>
      </c>
      <c r="C436" s="24">
        <f t="shared" si="7"/>
        <v>521.86485784581748</v>
      </c>
      <c r="D436" s="20">
        <v>3.58119190814781e-002</v>
      </c>
      <c r="E436" s="20" t="s">
        <v>471</v>
      </c>
      <c r="F436" s="25" t="s">
        <v>345</v>
      </c>
      <c r="G436" s="21" t="s">
        <v>472</v>
      </c>
      <c r="H436" s="33"/>
      <c r="I436" s="16">
        <v>36</v>
      </c>
      <c r="J436" s="16">
        <v>126</v>
      </c>
      <c r="K436" s="16" t="s">
        <v>207</v>
      </c>
      <c r="L436" s="23">
        <v>-1.3879999999999999</v>
      </c>
      <c r="M436" s="23">
        <v>-7.1130000000000004</v>
      </c>
      <c r="N436" s="26"/>
      <c r="O436" s="26"/>
      <c r="P436" s="26"/>
      <c r="Q436" s="20"/>
      <c r="R436" s="24"/>
    </row>
    <row r="437" s="3" customFormat="1">
      <c r="A437" s="22" t="s">
        <v>488</v>
      </c>
      <c r="B437" s="23">
        <v>47.399999999999999</v>
      </c>
      <c r="C437" s="24">
        <f t="shared" si="7"/>
        <v>521.87381082558784</v>
      </c>
      <c r="D437" s="20">
        <v>3.58119190814781e-002</v>
      </c>
      <c r="E437" s="20" t="s">
        <v>471</v>
      </c>
      <c r="F437" s="25" t="s">
        <v>345</v>
      </c>
      <c r="G437" s="21" t="s">
        <v>472</v>
      </c>
      <c r="H437" s="16"/>
      <c r="I437" s="16">
        <v>36</v>
      </c>
      <c r="J437" s="16">
        <v>126</v>
      </c>
      <c r="K437" s="16" t="s">
        <v>207</v>
      </c>
      <c r="L437" s="23">
        <v>-1.4239999999999999</v>
      </c>
      <c r="M437" s="23">
        <v>-6.6900000000000004</v>
      </c>
      <c r="N437" s="26"/>
      <c r="O437" s="26"/>
      <c r="P437" s="26"/>
      <c r="Q437" s="20"/>
      <c r="R437" s="24"/>
    </row>
    <row r="438" s="3" customFormat="1">
      <c r="A438" s="22" t="s">
        <v>489</v>
      </c>
      <c r="B438" s="23">
        <v>46.5</v>
      </c>
      <c r="C438" s="24">
        <f t="shared" si="7"/>
        <v>521.90604155276117</v>
      </c>
      <c r="D438" s="20">
        <v>3.58119190814781e-002</v>
      </c>
      <c r="E438" s="20" t="s">
        <v>471</v>
      </c>
      <c r="F438" s="25" t="s">
        <v>345</v>
      </c>
      <c r="G438" s="21" t="s">
        <v>472</v>
      </c>
      <c r="H438" s="33"/>
      <c r="I438" s="16">
        <v>36</v>
      </c>
      <c r="J438" s="16">
        <v>126</v>
      </c>
      <c r="K438" s="16" t="s">
        <v>207</v>
      </c>
      <c r="L438" s="23">
        <v>-1.353</v>
      </c>
      <c r="M438" s="23">
        <v>-7.3170000000000002</v>
      </c>
      <c r="N438" s="26"/>
      <c r="O438" s="26"/>
      <c r="P438" s="26"/>
      <c r="Q438" s="20"/>
      <c r="R438" s="24"/>
    </row>
    <row r="439" s="3" customFormat="1">
      <c r="A439" s="22" t="s">
        <v>490</v>
      </c>
      <c r="B439" s="23">
        <v>46</v>
      </c>
      <c r="C439" s="24">
        <f t="shared" si="7"/>
        <v>521.92394751230188</v>
      </c>
      <c r="D439" s="20">
        <v>3.58119190814781e-002</v>
      </c>
      <c r="E439" s="20" t="s">
        <v>471</v>
      </c>
      <c r="F439" s="25" t="s">
        <v>345</v>
      </c>
      <c r="G439" s="21" t="s">
        <v>472</v>
      </c>
      <c r="H439" s="16"/>
      <c r="I439" s="16">
        <v>36</v>
      </c>
      <c r="J439" s="16">
        <v>126</v>
      </c>
      <c r="K439" s="16" t="s">
        <v>207</v>
      </c>
      <c r="L439" s="23">
        <v>-1.4179999999999999</v>
      </c>
      <c r="M439" s="23">
        <v>-6.9009999999999998</v>
      </c>
      <c r="N439" s="26">
        <v>28.989999999999998</v>
      </c>
      <c r="O439" s="26">
        <v>75.644674129999999</v>
      </c>
      <c r="P439" s="23">
        <v>79.155137499999995</v>
      </c>
      <c r="Q439" s="27">
        <v>1.0116143869775369e-002</v>
      </c>
      <c r="R439" s="28">
        <v>0.39786926407886902</v>
      </c>
    </row>
    <row r="440" s="3" customFormat="1">
      <c r="A440" s="22" t="s">
        <v>491</v>
      </c>
      <c r="B440" s="23">
        <v>45</v>
      </c>
      <c r="C440" s="24">
        <f t="shared" si="7"/>
        <v>521.9597594313833</v>
      </c>
      <c r="D440" s="20">
        <v>3.58119190814781e-002</v>
      </c>
      <c r="E440" s="20" t="s">
        <v>471</v>
      </c>
      <c r="F440" s="25" t="s">
        <v>345</v>
      </c>
      <c r="G440" s="21" t="s">
        <v>472</v>
      </c>
      <c r="H440" s="16"/>
      <c r="I440" s="16">
        <v>36</v>
      </c>
      <c r="J440" s="16">
        <v>126</v>
      </c>
      <c r="K440" s="16" t="s">
        <v>207</v>
      </c>
      <c r="L440" s="23">
        <v>-1.26</v>
      </c>
      <c r="M440" s="23">
        <v>-6.5830000000000002</v>
      </c>
      <c r="N440" s="26">
        <v>29.77</v>
      </c>
      <c r="O440" s="26">
        <v>154.66529259999999</v>
      </c>
      <c r="P440" s="23">
        <v>80.670399000000003</v>
      </c>
      <c r="Q440" s="27">
        <v>8.4384504913550366e-003</v>
      </c>
      <c r="R440" s="28">
        <v>0.22931369962403533</v>
      </c>
    </row>
    <row r="441" s="3" customFormat="1">
      <c r="A441" s="22" t="s">
        <v>492</v>
      </c>
      <c r="B441" s="23">
        <v>44</v>
      </c>
      <c r="C441" s="24">
        <f t="shared" si="7"/>
        <v>521.99557135046473</v>
      </c>
      <c r="D441" s="20">
        <v>3.58119190814781e-002</v>
      </c>
      <c r="E441" s="20" t="s">
        <v>471</v>
      </c>
      <c r="F441" s="25" t="s">
        <v>345</v>
      </c>
      <c r="G441" s="21" t="s">
        <v>472</v>
      </c>
      <c r="H441" s="16"/>
      <c r="I441" s="16">
        <v>36</v>
      </c>
      <c r="J441" s="16">
        <v>126</v>
      </c>
      <c r="K441" s="16" t="s">
        <v>207</v>
      </c>
      <c r="L441" s="23">
        <v>-1.421</v>
      </c>
      <c r="M441" s="23">
        <v>-7.0540000000000003</v>
      </c>
      <c r="N441" s="26">
        <v>28.02</v>
      </c>
      <c r="O441" s="26">
        <v>75.189782039999997</v>
      </c>
      <c r="P441" s="23">
        <v>67.241789999999995</v>
      </c>
      <c r="Q441" s="27">
        <v>8.2810840414232617e-002</v>
      </c>
      <c r="R441" s="28">
        <v>0.47007742127596214</v>
      </c>
    </row>
    <row r="442" s="3" customFormat="1">
      <c r="A442" s="22" t="s">
        <v>493</v>
      </c>
      <c r="B442" s="23">
        <v>43</v>
      </c>
      <c r="C442" s="24">
        <f t="shared" si="7"/>
        <v>522.03138326954615</v>
      </c>
      <c r="D442" s="20">
        <v>3.58119190814781e-002</v>
      </c>
      <c r="E442" s="20" t="s">
        <v>471</v>
      </c>
      <c r="F442" s="25" t="s">
        <v>345</v>
      </c>
      <c r="G442" s="21" t="s">
        <v>472</v>
      </c>
      <c r="H442" s="16"/>
      <c r="I442" s="16">
        <v>36</v>
      </c>
      <c r="J442" s="16">
        <v>126</v>
      </c>
      <c r="K442" s="16" t="s">
        <v>207</v>
      </c>
      <c r="L442" s="23">
        <v>-1.2829999999999999</v>
      </c>
      <c r="M442" s="23">
        <v>-6.7450000000000001</v>
      </c>
      <c r="N442" s="26">
        <v>28.620000000000001</v>
      </c>
      <c r="O442" s="26">
        <v>121.57777919999999</v>
      </c>
      <c r="P442" s="23">
        <v>71.733940000000004</v>
      </c>
      <c r="Q442" s="27">
        <v>0.1722055216979459</v>
      </c>
      <c r="R442" s="28">
        <v>0.47387575258148062</v>
      </c>
    </row>
    <row r="443" s="3" customFormat="1">
      <c r="A443" s="22" t="s">
        <v>494</v>
      </c>
      <c r="B443" s="23">
        <v>42</v>
      </c>
      <c r="C443" s="24">
        <f t="shared" si="7"/>
        <v>522.06719518862758</v>
      </c>
      <c r="D443" s="20">
        <v>3.58119190814781e-002</v>
      </c>
      <c r="E443" s="20" t="s">
        <v>471</v>
      </c>
      <c r="F443" s="25" t="s">
        <v>345</v>
      </c>
      <c r="G443" s="21" t="s">
        <v>472</v>
      </c>
      <c r="H443" s="16"/>
      <c r="I443" s="16">
        <v>36</v>
      </c>
      <c r="J443" s="16">
        <v>126</v>
      </c>
      <c r="K443" s="16" t="s">
        <v>207</v>
      </c>
      <c r="L443" s="23">
        <v>-1.262</v>
      </c>
      <c r="M443" s="23">
        <v>-7.0659999999999998</v>
      </c>
      <c r="N443" s="26"/>
      <c r="O443" s="26"/>
      <c r="P443" s="26"/>
      <c r="Q443" s="20"/>
      <c r="R443" s="24"/>
    </row>
    <row r="444" s="3" customFormat="1">
      <c r="A444" s="22" t="s">
        <v>495</v>
      </c>
      <c r="B444" s="23">
        <v>41.899999999999999</v>
      </c>
      <c r="C444" s="24">
        <f t="shared" si="7"/>
        <v>522.07077638053568</v>
      </c>
      <c r="D444" s="20">
        <v>3.58119190814781e-002</v>
      </c>
      <c r="E444" s="20" t="s">
        <v>471</v>
      </c>
      <c r="F444" s="25" t="s">
        <v>345</v>
      </c>
      <c r="G444" s="21" t="s">
        <v>472</v>
      </c>
      <c r="H444" s="16"/>
      <c r="I444" s="16">
        <v>36</v>
      </c>
      <c r="J444" s="16">
        <v>126</v>
      </c>
      <c r="K444" s="16" t="s">
        <v>207</v>
      </c>
      <c r="L444" s="23">
        <v>-1.252</v>
      </c>
      <c r="M444" s="23">
        <v>-7.1189999999999998</v>
      </c>
      <c r="N444" s="26">
        <v>28.879999999999999</v>
      </c>
      <c r="O444" s="26">
        <v>20.704428010000001</v>
      </c>
      <c r="P444" s="23">
        <v>73.113939999999999</v>
      </c>
      <c r="Q444" s="27">
        <v>4.663735607272039e-002</v>
      </c>
      <c r="R444" s="28">
        <v>0.23650287492361691</v>
      </c>
    </row>
    <row r="445" s="3" customFormat="1">
      <c r="A445" s="22" t="s">
        <v>496</v>
      </c>
      <c r="B445" s="23">
        <v>41.5</v>
      </c>
      <c r="C445" s="24">
        <f t="shared" si="7"/>
        <v>522.08510114816829</v>
      </c>
      <c r="D445" s="20">
        <v>3.58119190814781e-002</v>
      </c>
      <c r="E445" s="20" t="s">
        <v>471</v>
      </c>
      <c r="F445" s="25" t="s">
        <v>345</v>
      </c>
      <c r="G445" s="21" t="s">
        <v>472</v>
      </c>
      <c r="H445" s="33"/>
      <c r="I445" s="16">
        <v>36</v>
      </c>
      <c r="J445" s="16">
        <v>126</v>
      </c>
      <c r="K445" s="16" t="s">
        <v>207</v>
      </c>
      <c r="L445" s="23">
        <v>-0.83599999999999997</v>
      </c>
      <c r="M445" s="23">
        <v>-6.3520000000000003</v>
      </c>
      <c r="N445" s="26"/>
      <c r="O445" s="26"/>
      <c r="P445" s="26"/>
      <c r="Q445" s="20"/>
      <c r="R445" s="24"/>
    </row>
    <row r="446" s="3" customFormat="1">
      <c r="A446" s="22" t="s">
        <v>497</v>
      </c>
      <c r="B446" s="23">
        <v>41</v>
      </c>
      <c r="C446" s="24">
        <f t="shared" si="7"/>
        <v>522.103007107709</v>
      </c>
      <c r="D446" s="20">
        <v>3.58119190814781e-002</v>
      </c>
      <c r="E446" s="20" t="s">
        <v>471</v>
      </c>
      <c r="F446" s="25" t="s">
        <v>345</v>
      </c>
      <c r="G446" s="21" t="s">
        <v>498</v>
      </c>
      <c r="H446" s="16"/>
      <c r="I446" s="16">
        <v>40</v>
      </c>
      <c r="J446" s="16">
        <v>184</v>
      </c>
      <c r="K446" s="16" t="s">
        <v>207</v>
      </c>
      <c r="L446" s="23">
        <v>-1.0569999999999999</v>
      </c>
      <c r="M446" s="23">
        <v>-5.798</v>
      </c>
      <c r="N446" s="26">
        <v>28.23</v>
      </c>
      <c r="O446" s="26">
        <v>89.796284360000001</v>
      </c>
      <c r="P446" s="23">
        <v>70.045234999999991</v>
      </c>
      <c r="Q446" s="27">
        <v>0.31064626320668237</v>
      </c>
      <c r="R446" s="28">
        <v>0.92364662963574029</v>
      </c>
    </row>
    <row r="447" s="3" customFormat="1">
      <c r="A447" s="22" t="s">
        <v>499</v>
      </c>
      <c r="B447" s="23">
        <v>40</v>
      </c>
      <c r="C447" s="24">
        <f t="shared" si="7"/>
        <v>522.13881902679043</v>
      </c>
      <c r="D447" s="20">
        <v>3.58119190814781e-002</v>
      </c>
      <c r="E447" s="20" t="s">
        <v>471</v>
      </c>
      <c r="F447" s="25" t="s">
        <v>345</v>
      </c>
      <c r="G447" s="21" t="s">
        <v>498</v>
      </c>
      <c r="H447" s="16"/>
      <c r="I447" s="16">
        <v>40</v>
      </c>
      <c r="J447" s="16">
        <v>184</v>
      </c>
      <c r="K447" s="16" t="s">
        <v>207</v>
      </c>
      <c r="L447" s="23">
        <v>-1.2250000000000001</v>
      </c>
      <c r="M447" s="23">
        <v>-6.7089999999999996</v>
      </c>
      <c r="N447" s="26"/>
      <c r="O447" s="26"/>
      <c r="P447" s="26"/>
      <c r="Q447" s="20"/>
      <c r="R447" s="24"/>
    </row>
    <row r="448" s="3" customFormat="1">
      <c r="A448" s="22" t="s">
        <v>500</v>
      </c>
      <c r="B448" s="23">
        <v>39</v>
      </c>
      <c r="C448" s="24">
        <f t="shared" si="7"/>
        <v>522.17463094587185</v>
      </c>
      <c r="D448" s="20">
        <v>3.58119190814781e-002</v>
      </c>
      <c r="E448" s="20" t="s">
        <v>471</v>
      </c>
      <c r="F448" s="25" t="s">
        <v>345</v>
      </c>
      <c r="G448" s="21" t="s">
        <v>498</v>
      </c>
      <c r="H448" s="16"/>
      <c r="I448" s="16">
        <v>40</v>
      </c>
      <c r="J448" s="16">
        <v>184</v>
      </c>
      <c r="K448" s="16" t="s">
        <v>207</v>
      </c>
      <c r="L448" s="23">
        <v>-0.77000000000000002</v>
      </c>
      <c r="M448" s="23">
        <v>-6.6399999999999997</v>
      </c>
      <c r="N448" s="26">
        <v>28.73</v>
      </c>
      <c r="O448" s="26">
        <v>109.50310159999999</v>
      </c>
      <c r="P448" s="23">
        <v>72.732820000000004</v>
      </c>
      <c r="Q448" s="27">
        <v>9.5579042541582865e-002</v>
      </c>
      <c r="R448" s="28">
        <v>0.51596951003528335</v>
      </c>
    </row>
    <row r="449" s="3" customFormat="1">
      <c r="A449" s="22" t="s">
        <v>501</v>
      </c>
      <c r="B449" s="23">
        <v>38</v>
      </c>
      <c r="C449" s="24">
        <f t="shared" si="7"/>
        <v>522.21044286495328</v>
      </c>
      <c r="D449" s="20">
        <v>3.58119190814781e-002</v>
      </c>
      <c r="E449" s="20" t="s">
        <v>471</v>
      </c>
      <c r="F449" s="25" t="s">
        <v>345</v>
      </c>
      <c r="G449" s="21" t="s">
        <v>498</v>
      </c>
      <c r="H449" s="16"/>
      <c r="I449" s="16">
        <v>40</v>
      </c>
      <c r="J449" s="16">
        <v>184</v>
      </c>
      <c r="K449" s="16" t="s">
        <v>207</v>
      </c>
      <c r="L449" s="23">
        <v>-0.55900000000000005</v>
      </c>
      <c r="M449" s="23">
        <v>-6.702</v>
      </c>
      <c r="N449" s="26">
        <v>29.530000000000001</v>
      </c>
      <c r="O449" s="26">
        <v>195.56461669999999</v>
      </c>
      <c r="P449" s="23">
        <v>74.102490000000003</v>
      </c>
      <c r="Q449" s="27">
        <v>0.13477007230481111</v>
      </c>
      <c r="R449" s="28">
        <v>0.4317875542204192</v>
      </c>
    </row>
    <row r="450" s="3" customFormat="1">
      <c r="A450" s="22" t="s">
        <v>502</v>
      </c>
      <c r="B450" s="23">
        <v>37</v>
      </c>
      <c r="C450" s="24">
        <f t="shared" si="7"/>
        <v>522.2462547840347</v>
      </c>
      <c r="D450" s="20">
        <v>3.58119190814781e-002</v>
      </c>
      <c r="E450" s="20" t="s">
        <v>471</v>
      </c>
      <c r="F450" s="25" t="s">
        <v>345</v>
      </c>
      <c r="G450" s="21" t="s">
        <v>498</v>
      </c>
      <c r="H450" s="16"/>
      <c r="I450" s="16">
        <v>40</v>
      </c>
      <c r="J450" s="16">
        <v>184</v>
      </c>
      <c r="K450" s="16" t="s">
        <v>207</v>
      </c>
      <c r="L450" s="23">
        <v>-0.47899999999999998</v>
      </c>
      <c r="M450" s="23">
        <v>-6.9130000000000003</v>
      </c>
      <c r="N450" s="26">
        <v>30.600000000000001</v>
      </c>
      <c r="O450" s="26">
        <v>86.183217679999998</v>
      </c>
      <c r="P450" s="23">
        <v>79.344444499999994</v>
      </c>
      <c r="Q450" s="27">
        <v>1.9672517005481255e-002</v>
      </c>
      <c r="R450" s="28">
        <v>0.22398528759935138</v>
      </c>
    </row>
    <row r="451" s="3" customFormat="1">
      <c r="A451" s="22" t="s">
        <v>503</v>
      </c>
      <c r="B451" s="23">
        <v>36</v>
      </c>
      <c r="C451" s="24">
        <f t="shared" si="7"/>
        <v>522.28206670311613</v>
      </c>
      <c r="D451" s="20">
        <v>3.58119190814781e-002</v>
      </c>
      <c r="E451" s="20" t="s">
        <v>471</v>
      </c>
      <c r="F451" s="25" t="s">
        <v>345</v>
      </c>
      <c r="G451" s="21" t="s">
        <v>498</v>
      </c>
      <c r="H451" s="16"/>
      <c r="I451" s="16">
        <v>40</v>
      </c>
      <c r="J451" s="16">
        <v>184</v>
      </c>
      <c r="K451" s="16" t="s">
        <v>207</v>
      </c>
      <c r="L451" s="23">
        <v>-2.e-003</v>
      </c>
      <c r="M451" s="23">
        <v>-6.2750000000000004</v>
      </c>
      <c r="N451" s="26">
        <v>29.84</v>
      </c>
      <c r="O451" s="26">
        <v>71.604639390000003</v>
      </c>
      <c r="P451" s="23">
        <v>73.977489999999989</v>
      </c>
      <c r="Q451" s="27">
        <v>0.17042782337897175</v>
      </c>
      <c r="R451" s="28">
        <v>0.69650163521300235</v>
      </c>
    </row>
    <row r="452" s="3" customFormat="1">
      <c r="A452" s="22" t="s">
        <v>504</v>
      </c>
      <c r="B452" s="23">
        <v>35</v>
      </c>
      <c r="C452" s="24">
        <f t="shared" si="7"/>
        <v>522.31787862219755</v>
      </c>
      <c r="D452" s="20">
        <v>3.58119190814781e-002</v>
      </c>
      <c r="E452" s="20" t="s">
        <v>471</v>
      </c>
      <c r="F452" s="25" t="s">
        <v>345</v>
      </c>
      <c r="G452" s="21" t="s">
        <v>498</v>
      </c>
      <c r="H452" s="16"/>
      <c r="I452" s="16">
        <v>40</v>
      </c>
      <c r="J452" s="16">
        <v>184</v>
      </c>
      <c r="K452" s="16" t="s">
        <v>207</v>
      </c>
      <c r="L452" s="23">
        <v>-0.23799999999999999</v>
      </c>
      <c r="M452" s="23">
        <v>-6.8209999999999997</v>
      </c>
      <c r="N452" s="26"/>
      <c r="O452" s="26"/>
      <c r="P452" s="26"/>
      <c r="Q452" s="20"/>
      <c r="R452" s="24"/>
    </row>
    <row r="453" s="3" customFormat="1">
      <c r="A453" s="22" t="s">
        <v>505</v>
      </c>
      <c r="B453" s="23">
        <v>34</v>
      </c>
      <c r="C453" s="24">
        <f t="shared" si="7"/>
        <v>522.35369054127898</v>
      </c>
      <c r="D453" s="20">
        <v>3.58119190814781e-002</v>
      </c>
      <c r="E453" s="20" t="s">
        <v>471</v>
      </c>
      <c r="F453" s="25" t="s">
        <v>345</v>
      </c>
      <c r="G453" s="21" t="s">
        <v>498</v>
      </c>
      <c r="H453" s="16"/>
      <c r="I453" s="16">
        <v>40</v>
      </c>
      <c r="J453" s="16">
        <v>184</v>
      </c>
      <c r="K453" s="16" t="s">
        <v>207</v>
      </c>
      <c r="L453" s="23">
        <v>-0.218</v>
      </c>
      <c r="M453" s="23">
        <v>-7.0789999999999997</v>
      </c>
      <c r="N453" s="26">
        <v>31.129999999999999</v>
      </c>
      <c r="O453" s="26">
        <v>43.689342119999999</v>
      </c>
      <c r="P453" s="23">
        <v>72.55239499999999</v>
      </c>
      <c r="Q453" s="27">
        <v>6.4424117205108947e-002</v>
      </c>
      <c r="R453" s="28">
        <v>0.36334543144291925</v>
      </c>
    </row>
    <row r="454" s="3" customFormat="1">
      <c r="A454" s="22" t="s">
        <v>506</v>
      </c>
      <c r="B454" s="23">
        <v>31</v>
      </c>
      <c r="C454" s="24">
        <f t="shared" ref="C454:C475" si="8">C453+(B453-B454)*D454</f>
        <v>522.46112629852337</v>
      </c>
      <c r="D454" s="20">
        <v>3.58119190814781e-002</v>
      </c>
      <c r="E454" s="20" t="s">
        <v>471</v>
      </c>
      <c r="F454" s="25" t="s">
        <v>345</v>
      </c>
      <c r="G454" s="21" t="s">
        <v>498</v>
      </c>
      <c r="H454" s="16"/>
      <c r="I454" s="16">
        <v>40</v>
      </c>
      <c r="J454" s="16">
        <v>184</v>
      </c>
      <c r="K454" s="16" t="s">
        <v>207</v>
      </c>
      <c r="L454" s="23">
        <v>0.83599999999999997</v>
      </c>
      <c r="M454" s="23">
        <v>-6.7699999999999996</v>
      </c>
      <c r="N454" s="26">
        <v>30.710000000000001</v>
      </c>
      <c r="O454" s="26">
        <v>91.684027689999994</v>
      </c>
      <c r="P454" s="23">
        <v>67.931520000000006</v>
      </c>
      <c r="Q454" s="27">
        <v>0.14829075782624926</v>
      </c>
      <c r="R454" s="28">
        <v>0.53786240191812584</v>
      </c>
    </row>
    <row r="455" s="3" customFormat="1">
      <c r="A455" s="22" t="s">
        <v>507</v>
      </c>
      <c r="B455" s="23">
        <v>29</v>
      </c>
      <c r="C455" s="24">
        <f t="shared" si="8"/>
        <v>522.53275013668633</v>
      </c>
      <c r="D455" s="20">
        <v>3.58119190814781e-002</v>
      </c>
      <c r="E455" s="20" t="s">
        <v>471</v>
      </c>
      <c r="F455" s="25" t="s">
        <v>345</v>
      </c>
      <c r="G455" s="21" t="s">
        <v>498</v>
      </c>
      <c r="H455" s="16"/>
      <c r="I455" s="16">
        <v>40</v>
      </c>
      <c r="J455" s="16">
        <v>184</v>
      </c>
      <c r="K455" s="16" t="s">
        <v>207</v>
      </c>
      <c r="L455" s="23">
        <v>1.048</v>
      </c>
      <c r="M455" s="23">
        <v>-6.7309999999999999</v>
      </c>
      <c r="N455" s="26">
        <v>32.240000000000002</v>
      </c>
      <c r="O455" s="26">
        <v>98.095203710000007</v>
      </c>
      <c r="P455" s="23">
        <v>70.135175000000004</v>
      </c>
      <c r="Q455" s="27">
        <v>0.13050214373342661</v>
      </c>
      <c r="R455" s="28">
        <v>0.69063924397492382</v>
      </c>
    </row>
    <row r="456" s="3" customFormat="1">
      <c r="A456" s="22" t="s">
        <v>508</v>
      </c>
      <c r="B456" s="23">
        <v>27</v>
      </c>
      <c r="C456" s="24">
        <f t="shared" si="8"/>
        <v>522.6043739748493</v>
      </c>
      <c r="D456" s="20">
        <v>3.58119190814781e-002</v>
      </c>
      <c r="E456" s="20" t="s">
        <v>471</v>
      </c>
      <c r="F456" s="25" t="s">
        <v>345</v>
      </c>
      <c r="G456" s="21" t="s">
        <v>498</v>
      </c>
      <c r="H456" s="16"/>
      <c r="I456" s="16">
        <v>40</v>
      </c>
      <c r="J456" s="16">
        <v>184</v>
      </c>
      <c r="K456" s="16" t="s">
        <v>207</v>
      </c>
      <c r="L456" s="23">
        <v>0.92700000000000005</v>
      </c>
      <c r="M456" s="23">
        <v>-6.5869999999999997</v>
      </c>
      <c r="N456" s="26"/>
      <c r="O456" s="26"/>
      <c r="P456" s="26"/>
      <c r="Q456" s="20"/>
      <c r="R456" s="24"/>
    </row>
    <row r="457" s="3" customFormat="1">
      <c r="A457" s="22" t="s">
        <v>509</v>
      </c>
      <c r="B457" s="23">
        <v>19.899999999999999</v>
      </c>
      <c r="C457" s="24">
        <f t="shared" si="8"/>
        <v>522.85863860032782</v>
      </c>
      <c r="D457" s="20">
        <v>3.58119190814781e-002</v>
      </c>
      <c r="E457" s="20" t="s">
        <v>471</v>
      </c>
      <c r="F457" s="25" t="s">
        <v>345</v>
      </c>
      <c r="G457" s="21" t="s">
        <v>498</v>
      </c>
      <c r="H457" s="16"/>
      <c r="I457" s="16">
        <v>40</v>
      </c>
      <c r="J457" s="16">
        <v>184</v>
      </c>
      <c r="K457" s="16" t="s">
        <v>207</v>
      </c>
      <c r="L457" s="23">
        <v>0.60299999999999998</v>
      </c>
      <c r="M457" s="23">
        <v>-6.7779999999999996</v>
      </c>
      <c r="N457" s="26"/>
      <c r="O457" s="26"/>
      <c r="P457" s="26"/>
      <c r="Q457" s="20"/>
      <c r="R457" s="24"/>
    </row>
    <row r="458" s="3" customFormat="1">
      <c r="A458" s="22" t="s">
        <v>510</v>
      </c>
      <c r="B458" s="23">
        <v>19.800000000000001</v>
      </c>
      <c r="C458" s="24">
        <f t="shared" si="8"/>
        <v>522.86221979223592</v>
      </c>
      <c r="D458" s="20">
        <v>3.58119190814781e-002</v>
      </c>
      <c r="E458" s="20" t="s">
        <v>471</v>
      </c>
      <c r="F458" s="25" t="s">
        <v>345</v>
      </c>
      <c r="G458" s="21" t="s">
        <v>498</v>
      </c>
      <c r="H458" s="16"/>
      <c r="I458" s="16">
        <v>40</v>
      </c>
      <c r="J458" s="16">
        <v>184</v>
      </c>
      <c r="K458" s="16" t="s">
        <v>207</v>
      </c>
      <c r="L458" s="23">
        <v>0.60399999999999998</v>
      </c>
      <c r="M458" s="23">
        <v>-6.5899999999999999</v>
      </c>
      <c r="N458" s="26">
        <v>32.509999999999998</v>
      </c>
      <c r="O458" s="26">
        <v>61.784626600000003</v>
      </c>
      <c r="P458" s="23">
        <v>69.027240000000006</v>
      </c>
      <c r="Q458" s="27">
        <v>0.17929219016895548</v>
      </c>
      <c r="R458" s="28">
        <v>0.62691228226489071</v>
      </c>
    </row>
    <row r="459" s="3" customFormat="1">
      <c r="A459" s="22" t="s">
        <v>511</v>
      </c>
      <c r="B459" s="23">
        <v>13.5</v>
      </c>
      <c r="C459" s="24">
        <f t="shared" si="8"/>
        <v>523.08783488244922</v>
      </c>
      <c r="D459" s="20">
        <v>3.58119190814781e-002</v>
      </c>
      <c r="E459" s="20" t="s">
        <v>471</v>
      </c>
      <c r="F459" s="25" t="s">
        <v>345</v>
      </c>
      <c r="G459" s="21" t="s">
        <v>512</v>
      </c>
      <c r="H459" s="16"/>
      <c r="I459" s="16">
        <v>40</v>
      </c>
      <c r="J459" s="16">
        <v>184</v>
      </c>
      <c r="K459" s="16" t="s">
        <v>207</v>
      </c>
      <c r="L459" s="23">
        <v>0.48599999999999999</v>
      </c>
      <c r="M459" s="23">
        <v>-7.0010000000000003</v>
      </c>
      <c r="N459" s="26">
        <v>28.75</v>
      </c>
      <c r="O459" s="26">
        <v>121.53220450000001</v>
      </c>
      <c r="P459" s="23">
        <v>62.949235000000002</v>
      </c>
      <c r="Q459" s="27">
        <v>0.21594722360145649</v>
      </c>
      <c r="R459" s="28">
        <v>0.90193791193229556</v>
      </c>
    </row>
    <row r="460" s="3" customFormat="1">
      <c r="A460" s="22" t="s">
        <v>513</v>
      </c>
      <c r="B460" s="23">
        <v>12.5</v>
      </c>
      <c r="C460" s="24">
        <f t="shared" si="8"/>
        <v>523.12364680153064</v>
      </c>
      <c r="D460" s="20">
        <v>3.58119190814781e-002</v>
      </c>
      <c r="E460" s="20" t="s">
        <v>471</v>
      </c>
      <c r="F460" s="25" t="s">
        <v>345</v>
      </c>
      <c r="G460" s="21" t="s">
        <v>498</v>
      </c>
      <c r="H460" s="16"/>
      <c r="I460" s="16">
        <v>40</v>
      </c>
      <c r="J460" s="16">
        <v>184</v>
      </c>
      <c r="K460" s="16" t="s">
        <v>207</v>
      </c>
      <c r="L460" s="23">
        <v>0.29199999999999998</v>
      </c>
      <c r="M460" s="23">
        <v>-6.5019999999999998</v>
      </c>
      <c r="N460" s="26">
        <v>27.98</v>
      </c>
      <c r="O460" s="26">
        <v>11.215110510000001</v>
      </c>
      <c r="P460" s="23">
        <v>67.570075000000003</v>
      </c>
      <c r="Q460" s="27">
        <v>0.13887072112282689</v>
      </c>
      <c r="R460" s="28">
        <v>0.99074695138713265</v>
      </c>
    </row>
    <row r="461" s="3" customFormat="1">
      <c r="A461" s="22" t="s">
        <v>514</v>
      </c>
      <c r="B461" s="23">
        <v>11.5</v>
      </c>
      <c r="C461" s="24">
        <f t="shared" si="8"/>
        <v>523.15945872061207</v>
      </c>
      <c r="D461" s="20">
        <v>3.58119190814781e-002</v>
      </c>
      <c r="E461" s="20" t="s">
        <v>471</v>
      </c>
      <c r="F461" s="25" t="s">
        <v>345</v>
      </c>
      <c r="G461" s="21" t="s">
        <v>498</v>
      </c>
      <c r="H461" s="16"/>
      <c r="I461" s="16">
        <v>40</v>
      </c>
      <c r="J461" s="16">
        <v>184</v>
      </c>
      <c r="K461" s="16" t="s">
        <v>207</v>
      </c>
      <c r="L461" s="23">
        <v>0.435</v>
      </c>
      <c r="M461" s="23">
        <v>-6.6820000000000004</v>
      </c>
      <c r="N461" s="26">
        <v>29.09</v>
      </c>
      <c r="O461" s="26">
        <v>323.3113548</v>
      </c>
      <c r="P461" s="23">
        <v>69.409559999999999</v>
      </c>
      <c r="Q461" s="27">
        <v>0.25516149059214033</v>
      </c>
      <c r="R461" s="28">
        <v>0.93649387818699203</v>
      </c>
    </row>
    <row r="462" s="3" customFormat="1">
      <c r="A462" s="22" t="s">
        <v>515</v>
      </c>
      <c r="B462" s="23">
        <v>11</v>
      </c>
      <c r="C462" s="24">
        <f t="shared" si="8"/>
        <v>523.17736468015278</v>
      </c>
      <c r="D462" s="20">
        <v>3.58119190814781e-002</v>
      </c>
      <c r="E462" s="20" t="s">
        <v>471</v>
      </c>
      <c r="F462" s="25" t="s">
        <v>345</v>
      </c>
      <c r="G462" s="21" t="s">
        <v>498</v>
      </c>
      <c r="H462" s="16"/>
      <c r="I462" s="16">
        <v>40</v>
      </c>
      <c r="J462" s="16">
        <v>184</v>
      </c>
      <c r="K462" s="16" t="s">
        <v>207</v>
      </c>
      <c r="L462" s="23">
        <v>8.5999999999999993e-002</v>
      </c>
      <c r="M462" s="23">
        <v>-6.8099999999999996</v>
      </c>
      <c r="N462" s="26">
        <v>28.539999999999999</v>
      </c>
      <c r="O462" s="26">
        <v>20.348985920000001</v>
      </c>
      <c r="P462" s="23">
        <v>73.585905000000011</v>
      </c>
      <c r="Q462" s="27">
        <v>8.448881121537935e-002</v>
      </c>
      <c r="R462" s="28">
        <v>0.68262432801507322</v>
      </c>
    </row>
    <row r="463" s="3" customFormat="1">
      <c r="A463" s="22" t="s">
        <v>516</v>
      </c>
      <c r="B463" s="23">
        <v>10.199999999999999</v>
      </c>
      <c r="C463" s="24">
        <f t="shared" si="8"/>
        <v>523.20601421541801</v>
      </c>
      <c r="D463" s="20">
        <v>3.58119190814781e-002</v>
      </c>
      <c r="E463" s="20" t="s">
        <v>471</v>
      </c>
      <c r="F463" s="25" t="s">
        <v>345</v>
      </c>
      <c r="G463" s="21" t="s">
        <v>498</v>
      </c>
      <c r="H463" s="16"/>
      <c r="I463" s="16">
        <v>40</v>
      </c>
      <c r="J463" s="16">
        <v>184</v>
      </c>
      <c r="K463" s="16" t="s">
        <v>207</v>
      </c>
      <c r="L463" s="23">
        <v>-0.46200000000000002</v>
      </c>
      <c r="M463" s="23">
        <v>-6.5380000000000003</v>
      </c>
      <c r="N463" s="26">
        <v>28.120000000000001</v>
      </c>
      <c r="O463" s="26">
        <v>115.73919225925978</v>
      </c>
      <c r="P463" s="23">
        <v>61.798855000000003</v>
      </c>
      <c r="Q463" s="27">
        <v>0.21981378124586695</v>
      </c>
      <c r="R463" s="28">
        <v>1.0813506388837584</v>
      </c>
    </row>
    <row r="464" s="3" customFormat="1">
      <c r="A464" s="22" t="s">
        <v>517</v>
      </c>
      <c r="B464" s="23">
        <v>9</v>
      </c>
      <c r="C464" s="24">
        <f t="shared" si="8"/>
        <v>523.24898851831574</v>
      </c>
      <c r="D464" s="20">
        <v>3.58119190814781e-002</v>
      </c>
      <c r="E464" s="20" t="s">
        <v>471</v>
      </c>
      <c r="F464" s="25" t="s">
        <v>345</v>
      </c>
      <c r="G464" s="21" t="s">
        <v>498</v>
      </c>
      <c r="H464" s="16"/>
      <c r="I464" s="16">
        <v>40</v>
      </c>
      <c r="J464" s="16">
        <v>184</v>
      </c>
      <c r="K464" s="16" t="s">
        <v>207</v>
      </c>
      <c r="L464" s="23">
        <v>-1.1739999999999999</v>
      </c>
      <c r="M464" s="23">
        <v>-7.069</v>
      </c>
      <c r="N464" s="26">
        <v>24.460000000000001</v>
      </c>
      <c r="O464" s="26">
        <v>106.2758438</v>
      </c>
      <c r="P464" s="23">
        <v>64.664550000000006</v>
      </c>
      <c r="Q464" s="27">
        <v>9.2698714980825173e-002</v>
      </c>
      <c r="R464" s="28">
        <v>0.97142436640861851</v>
      </c>
    </row>
    <row r="465" s="3" customFormat="1">
      <c r="A465" s="22" t="s">
        <v>518</v>
      </c>
      <c r="B465" s="23">
        <v>8</v>
      </c>
      <c r="C465" s="24">
        <f t="shared" si="8"/>
        <v>523.28480043739717</v>
      </c>
      <c r="D465" s="20">
        <v>3.58119190814781e-002</v>
      </c>
      <c r="E465" s="20" t="s">
        <v>471</v>
      </c>
      <c r="F465" s="25" t="s">
        <v>345</v>
      </c>
      <c r="G465" s="21" t="s">
        <v>498</v>
      </c>
      <c r="H465" s="16"/>
      <c r="I465" s="16">
        <v>40</v>
      </c>
      <c r="J465" s="16">
        <v>184</v>
      </c>
      <c r="K465" s="16" t="s">
        <v>207</v>
      </c>
      <c r="L465" s="23">
        <v>-1.0529999999999999</v>
      </c>
      <c r="M465" s="23">
        <v>-7.0830000000000002</v>
      </c>
      <c r="N465" s="26">
        <v>24.510000000000002</v>
      </c>
      <c r="O465" s="26">
        <v>39.649715450000002</v>
      </c>
      <c r="P465" s="23">
        <v>67.120505000000009</v>
      </c>
      <c r="Q465" s="27">
        <v>6.909379825328224e-002</v>
      </c>
      <c r="R465" s="28">
        <v>0.86681979391463826</v>
      </c>
    </row>
    <row r="466" s="3" customFormat="1">
      <c r="A466" s="22" t="s">
        <v>519</v>
      </c>
      <c r="B466" s="23">
        <v>7</v>
      </c>
      <c r="C466" s="24">
        <f t="shared" si="8"/>
        <v>523.32061235647859</v>
      </c>
      <c r="D466" s="20">
        <v>3.58119190814781e-002</v>
      </c>
      <c r="E466" s="20" t="s">
        <v>471</v>
      </c>
      <c r="F466" s="25" t="s">
        <v>345</v>
      </c>
      <c r="G466" s="21" t="s">
        <v>498</v>
      </c>
      <c r="H466" s="16"/>
      <c r="I466" s="16">
        <v>40</v>
      </c>
      <c r="J466" s="16">
        <v>184</v>
      </c>
      <c r="K466" s="16" t="s">
        <v>207</v>
      </c>
      <c r="L466" s="23">
        <v>-1.034</v>
      </c>
      <c r="M466" s="23">
        <v>-6.5229999999999997</v>
      </c>
      <c r="N466" s="26"/>
      <c r="O466" s="26">
        <v>52.64248345</v>
      </c>
      <c r="P466" s="23">
        <v>76.22156249999999</v>
      </c>
      <c r="Q466" s="27">
        <v>1.9332024038915017e-002</v>
      </c>
      <c r="R466" s="28">
        <v>0.34031499778793683</v>
      </c>
    </row>
    <row r="467" s="3" customFormat="1">
      <c r="A467" s="22" t="s">
        <v>520</v>
      </c>
      <c r="B467" s="23">
        <v>6</v>
      </c>
      <c r="C467" s="24">
        <f t="shared" si="8"/>
        <v>523.35642427556002</v>
      </c>
      <c r="D467" s="20">
        <v>3.58119190814781e-002</v>
      </c>
      <c r="E467" s="20" t="s">
        <v>471</v>
      </c>
      <c r="F467" s="25" t="s">
        <v>345</v>
      </c>
      <c r="G467" s="21" t="s">
        <v>498</v>
      </c>
      <c r="H467" s="16"/>
      <c r="I467" s="16">
        <v>40</v>
      </c>
      <c r="J467" s="16">
        <v>184</v>
      </c>
      <c r="K467" s="16" t="s">
        <v>207</v>
      </c>
      <c r="L467" s="23">
        <v>-1.319</v>
      </c>
      <c r="M467" s="23">
        <v>-6.8940000000000001</v>
      </c>
      <c r="N467" s="26">
        <v>25.030000000000001</v>
      </c>
      <c r="O467" s="26">
        <v>76.915618989999999</v>
      </c>
      <c r="P467" s="23">
        <v>71.316620499999999</v>
      </c>
      <c r="Q467" s="27">
        <v>3.2929206622783695e-002</v>
      </c>
      <c r="R467" s="28">
        <v>0.64279345417656641</v>
      </c>
    </row>
    <row r="468" s="3" customFormat="1">
      <c r="A468" s="22" t="s">
        <v>521</v>
      </c>
      <c r="B468" s="23">
        <v>4.7000000000000002</v>
      </c>
      <c r="C468" s="24">
        <f t="shared" si="8"/>
        <v>523.40297977036596</v>
      </c>
      <c r="D468" s="20">
        <v>3.58119190814781e-002</v>
      </c>
      <c r="E468" s="20" t="s">
        <v>471</v>
      </c>
      <c r="F468" s="25" t="s">
        <v>345</v>
      </c>
      <c r="G468" s="32" t="s">
        <v>522</v>
      </c>
      <c r="H468" s="32"/>
      <c r="I468" s="16">
        <v>13</v>
      </c>
      <c r="J468" s="16">
        <v>142</v>
      </c>
      <c r="K468" s="16" t="s">
        <v>207</v>
      </c>
      <c r="L468" s="23">
        <v>-1.768</v>
      </c>
      <c r="M468" s="23">
        <v>-7.0010000000000003</v>
      </c>
      <c r="N468" s="26"/>
      <c r="O468" s="26"/>
      <c r="P468" s="26"/>
      <c r="Q468" s="20"/>
      <c r="R468" s="24"/>
    </row>
    <row r="469" s="3" customFormat="1">
      <c r="A469" s="22" t="s">
        <v>523</v>
      </c>
      <c r="B469" s="23">
        <v>4</v>
      </c>
      <c r="C469" s="24">
        <f t="shared" si="8"/>
        <v>523.42804811372298</v>
      </c>
      <c r="D469" s="20">
        <v>3.58119190814781e-002</v>
      </c>
      <c r="E469" s="20" t="s">
        <v>471</v>
      </c>
      <c r="F469" s="25" t="s">
        <v>345</v>
      </c>
      <c r="G469" s="32" t="s">
        <v>522</v>
      </c>
      <c r="H469" s="32"/>
      <c r="I469" s="16">
        <v>13</v>
      </c>
      <c r="J469" s="16">
        <v>142</v>
      </c>
      <c r="K469" s="16" t="s">
        <v>207</v>
      </c>
      <c r="L469" s="23">
        <v>-1.7130000000000001</v>
      </c>
      <c r="M469" s="23">
        <v>-7.1909999999999998</v>
      </c>
      <c r="N469" s="26"/>
      <c r="O469" s="26"/>
      <c r="P469" s="26"/>
      <c r="Q469" s="20"/>
      <c r="R469" s="24"/>
    </row>
    <row r="470" s="3" customFormat="1">
      <c r="A470" s="22" t="s">
        <v>524</v>
      </c>
      <c r="B470" s="23">
        <v>2.9500000000000002</v>
      </c>
      <c r="C470" s="24">
        <f t="shared" si="8"/>
        <v>523.46565062875857</v>
      </c>
      <c r="D470" s="20">
        <v>3.58119190814781e-002</v>
      </c>
      <c r="E470" s="20" t="s">
        <v>471</v>
      </c>
      <c r="F470" s="25" t="s">
        <v>345</v>
      </c>
      <c r="G470" s="32" t="s">
        <v>522</v>
      </c>
      <c r="H470" s="32"/>
      <c r="I470" s="16">
        <v>13</v>
      </c>
      <c r="J470" s="16">
        <v>142</v>
      </c>
      <c r="K470" s="16" t="s">
        <v>207</v>
      </c>
      <c r="L470" s="23">
        <v>-2.1269999999999998</v>
      </c>
      <c r="M470" s="23">
        <v>-6.7539999999999996</v>
      </c>
      <c r="N470" s="26"/>
      <c r="O470" s="26">
        <v>40.051422000000002</v>
      </c>
      <c r="P470" s="26"/>
      <c r="Q470" s="20"/>
      <c r="R470" s="24"/>
    </row>
    <row r="471" s="3" customFormat="1">
      <c r="A471" s="22" t="s">
        <v>525</v>
      </c>
      <c r="B471" s="23">
        <v>2.7000000000000002</v>
      </c>
      <c r="C471" s="24">
        <f t="shared" si="8"/>
        <v>523.47460360852892</v>
      </c>
      <c r="D471" s="20">
        <v>3.58119190814781e-002</v>
      </c>
      <c r="E471" s="20" t="s">
        <v>471</v>
      </c>
      <c r="F471" s="25" t="s">
        <v>345</v>
      </c>
      <c r="G471" s="32" t="s">
        <v>522</v>
      </c>
      <c r="H471" s="32"/>
      <c r="I471" s="16">
        <v>13</v>
      </c>
      <c r="J471" s="16">
        <v>142</v>
      </c>
      <c r="K471" s="16" t="s">
        <v>207</v>
      </c>
      <c r="L471" s="23">
        <v>-2.5899999999999999</v>
      </c>
      <c r="M471" s="23">
        <v>-6.2460000000000004</v>
      </c>
      <c r="N471" s="26">
        <v>27.530000000000001</v>
      </c>
      <c r="O471" s="26">
        <v>73.713606299999995</v>
      </c>
      <c r="P471" s="23">
        <v>81.337133999999992</v>
      </c>
      <c r="Q471" s="27">
        <v>1.2170254268548101e-002</v>
      </c>
      <c r="R471" s="28">
        <v>4.7569443908760618e-002</v>
      </c>
    </row>
    <row r="472" s="3" customFormat="1">
      <c r="A472" s="22" t="s">
        <v>526</v>
      </c>
      <c r="B472" s="23">
        <v>2.1000000000000001</v>
      </c>
      <c r="C472" s="24">
        <f t="shared" si="8"/>
        <v>523.49609075997785</v>
      </c>
      <c r="D472" s="20">
        <v>3.58119190814781e-002</v>
      </c>
      <c r="E472" s="20" t="s">
        <v>471</v>
      </c>
      <c r="F472" s="25" t="s">
        <v>345</v>
      </c>
      <c r="G472" s="32" t="s">
        <v>522</v>
      </c>
      <c r="H472" s="32"/>
      <c r="I472" s="16">
        <v>13</v>
      </c>
      <c r="J472" s="16">
        <v>142</v>
      </c>
      <c r="K472" s="16" t="s">
        <v>207</v>
      </c>
      <c r="L472" s="23">
        <v>-2.6000000000000001</v>
      </c>
      <c r="M472" s="23">
        <v>-6.5999999999999996</v>
      </c>
      <c r="N472" s="26"/>
      <c r="O472" s="26"/>
      <c r="P472" s="26"/>
      <c r="Q472" s="20"/>
      <c r="R472" s="24"/>
    </row>
    <row r="473" s="3" customFormat="1">
      <c r="A473" s="22" t="s">
        <v>527</v>
      </c>
      <c r="B473" s="23">
        <v>1.5</v>
      </c>
      <c r="C473" s="24">
        <f t="shared" si="8"/>
        <v>523.51757791142677</v>
      </c>
      <c r="D473" s="20">
        <v>3.58119190814781e-002</v>
      </c>
      <c r="E473" s="20" t="s">
        <v>471</v>
      </c>
      <c r="F473" s="25" t="s">
        <v>345</v>
      </c>
      <c r="G473" s="32" t="s">
        <v>522</v>
      </c>
      <c r="H473" s="32"/>
      <c r="I473" s="16">
        <v>13</v>
      </c>
      <c r="J473" s="16">
        <v>142</v>
      </c>
      <c r="K473" s="16" t="s">
        <v>207</v>
      </c>
      <c r="L473" s="23">
        <v>-2.1989999999999998</v>
      </c>
      <c r="M473" s="23">
        <v>-6.6740000000000004</v>
      </c>
      <c r="N473" s="26"/>
      <c r="O473" s="26">
        <v>144.6904012</v>
      </c>
      <c r="P473" s="26"/>
      <c r="Q473" s="20"/>
      <c r="R473" s="24"/>
    </row>
    <row r="474" s="3" customFormat="1">
      <c r="A474" s="16" t="s">
        <v>528</v>
      </c>
      <c r="B474" s="26">
        <v>1.3999999999999999</v>
      </c>
      <c r="C474" s="24">
        <f t="shared" si="8"/>
        <v>523.52115910333487</v>
      </c>
      <c r="D474" s="20">
        <v>3.58119190814781e-002</v>
      </c>
      <c r="E474" s="20" t="s">
        <v>471</v>
      </c>
      <c r="F474" s="25" t="s">
        <v>345</v>
      </c>
      <c r="G474" s="32" t="s">
        <v>522</v>
      </c>
      <c r="H474" s="32"/>
      <c r="I474" s="16">
        <v>13</v>
      </c>
      <c r="J474" s="16">
        <v>142</v>
      </c>
      <c r="K474" s="16" t="s">
        <v>207</v>
      </c>
      <c r="L474" s="26">
        <v>-1.776</v>
      </c>
      <c r="M474" s="26">
        <v>-6.4870000000000001</v>
      </c>
      <c r="N474" s="26">
        <v>27.510000000000002</v>
      </c>
      <c r="O474" s="26">
        <v>17.599771690000001</v>
      </c>
      <c r="P474" s="23">
        <v>69.241174999999998</v>
      </c>
      <c r="Q474" s="27">
        <v>5.7717222486712606e-002</v>
      </c>
      <c r="R474" s="28">
        <v>0.60818658503318879</v>
      </c>
    </row>
    <row r="475" s="3" customFormat="1">
      <c r="A475" s="16" t="s">
        <v>529</v>
      </c>
      <c r="B475" s="26">
        <v>1.2</v>
      </c>
      <c r="C475" s="24">
        <f t="shared" si="8"/>
        <v>523.52832148715117</v>
      </c>
      <c r="D475" s="20">
        <v>3.58119190814781e-002</v>
      </c>
      <c r="E475" s="20" t="s">
        <v>471</v>
      </c>
      <c r="F475" s="25" t="s">
        <v>345</v>
      </c>
      <c r="G475" s="32" t="s">
        <v>522</v>
      </c>
      <c r="H475" s="32"/>
      <c r="I475" s="16">
        <v>13</v>
      </c>
      <c r="J475" s="16">
        <v>142</v>
      </c>
      <c r="K475" s="16" t="s">
        <v>207</v>
      </c>
      <c r="L475" s="26">
        <v>-1.78</v>
      </c>
      <c r="M475" s="26">
        <v>-6.4249999999999998</v>
      </c>
      <c r="N475" s="26">
        <v>29.719999999999999</v>
      </c>
      <c r="O475" s="26">
        <v>85.94922862</v>
      </c>
      <c r="P475" s="23">
        <v>77.270578999999998</v>
      </c>
      <c r="Q475" s="27">
        <v>1.2345481534142336e-002</v>
      </c>
      <c r="R475" s="28">
        <v>0.84596828173979899</v>
      </c>
    </row>
    <row r="476" s="3" customFormat="1">
      <c r="A476" s="16" t="s">
        <v>530</v>
      </c>
      <c r="B476" s="26">
        <v>1.1000000000000001</v>
      </c>
      <c r="C476" s="24"/>
      <c r="D476" s="20">
        <v>3.58119190814781e-002</v>
      </c>
      <c r="E476" s="20" t="s">
        <v>531</v>
      </c>
      <c r="F476" s="22" t="s">
        <v>532</v>
      </c>
      <c r="G476" s="16"/>
      <c r="H476" s="32" t="s">
        <v>533</v>
      </c>
      <c r="I476" s="16"/>
      <c r="J476" s="16"/>
      <c r="K476" s="16"/>
      <c r="L476" s="26">
        <v>-1.4630000000000001</v>
      </c>
      <c r="M476" s="26">
        <v>-6.7039999999999997</v>
      </c>
      <c r="N476" s="26"/>
      <c r="O476" s="26"/>
      <c r="P476" s="26"/>
      <c r="Q476" s="20"/>
      <c r="R476" s="24"/>
    </row>
    <row r="477" s="3" customFormat="1">
      <c r="A477" s="22" t="s">
        <v>534</v>
      </c>
      <c r="B477" s="23">
        <v>1</v>
      </c>
      <c r="C477" s="24"/>
      <c r="D477" s="20">
        <v>3.58119190814781e-002</v>
      </c>
      <c r="E477" s="20" t="s">
        <v>531</v>
      </c>
      <c r="F477" s="22" t="s">
        <v>532</v>
      </c>
      <c r="G477" s="22"/>
      <c r="H477" s="32" t="s">
        <v>533</v>
      </c>
      <c r="I477" s="16"/>
      <c r="J477" s="16"/>
      <c r="K477" s="16"/>
      <c r="L477" s="23">
        <v>-0.25600000000000001</v>
      </c>
      <c r="M477" s="23">
        <v>-5.4699999999999998</v>
      </c>
      <c r="N477" s="26"/>
      <c r="O477" s="26"/>
      <c r="P477" s="26"/>
      <c r="Q477" s="20"/>
      <c r="R477" s="24"/>
    </row>
    <row r="478" s="3" customFormat="1">
      <c r="A478" s="22" t="s">
        <v>535</v>
      </c>
      <c r="B478" s="23">
        <v>0.80000000000000004</v>
      </c>
      <c r="C478" s="24"/>
      <c r="D478" s="20">
        <v>3.58119190814781e-002</v>
      </c>
      <c r="E478" s="20" t="s">
        <v>531</v>
      </c>
      <c r="F478" s="22" t="s">
        <v>532</v>
      </c>
      <c r="G478" s="32"/>
      <c r="H478" s="32" t="s">
        <v>533</v>
      </c>
      <c r="I478" s="16"/>
      <c r="J478" s="16"/>
      <c r="K478" s="16"/>
      <c r="L478" s="23">
        <v>-0.47199999999999998</v>
      </c>
      <c r="M478" s="23">
        <v>-7.3239999999999998</v>
      </c>
      <c r="N478" s="26"/>
      <c r="O478" s="26"/>
      <c r="P478" s="26"/>
      <c r="Q478" s="20"/>
      <c r="R478" s="24"/>
    </row>
    <row r="479" s="3" customFormat="1">
      <c r="A479" s="22" t="s">
        <v>536</v>
      </c>
      <c r="B479" s="23">
        <v>0</v>
      </c>
      <c r="C479" s="24"/>
      <c r="D479" s="20">
        <v>3.58119190814781e-002</v>
      </c>
      <c r="E479" s="20" t="s">
        <v>531</v>
      </c>
      <c r="F479" s="22" t="s">
        <v>532</v>
      </c>
      <c r="G479" s="22"/>
      <c r="H479" s="32" t="s">
        <v>533</v>
      </c>
      <c r="I479" s="16"/>
      <c r="J479" s="16"/>
      <c r="K479" s="16"/>
      <c r="L479" s="23">
        <v>0.48399999999999999</v>
      </c>
      <c r="M479" s="23">
        <v>-7.4329999999999998</v>
      </c>
      <c r="N479" s="26"/>
      <c r="O479" s="26"/>
      <c r="P479" s="26"/>
      <c r="Q479" s="20"/>
      <c r="R479" s="24"/>
    </row>
    <row r="480" s="3" customFormat="1">
      <c r="A480" s="22" t="s">
        <v>537</v>
      </c>
      <c r="B480" s="23">
        <v>0</v>
      </c>
      <c r="C480" s="24"/>
      <c r="D480" s="20">
        <v>3.58119190814781e-002</v>
      </c>
      <c r="E480" s="20" t="s">
        <v>531</v>
      </c>
      <c r="F480" s="22" t="s">
        <v>532</v>
      </c>
      <c r="G480" s="22"/>
      <c r="H480" s="32" t="s">
        <v>533</v>
      </c>
      <c r="I480" s="16"/>
      <c r="J480" s="16"/>
      <c r="K480" s="16"/>
      <c r="L480" s="23">
        <v>0.45400000000000001</v>
      </c>
      <c r="M480" s="23">
        <v>-6.5419999999999998</v>
      </c>
      <c r="N480" s="26">
        <v>29.620000000000001</v>
      </c>
      <c r="O480" s="26">
        <v>19.037542439999999</v>
      </c>
      <c r="P480" s="23">
        <v>85.894829999999999</v>
      </c>
      <c r="Q480" s="27">
        <v>0.13443884961750749</v>
      </c>
      <c r="R480" s="28">
        <v>0.94667919960856006</v>
      </c>
    </row>
    <row r="481">
      <c r="J481" s="34"/>
      <c r="K481" s="1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revision>1</cp:revision>
  <dcterms:created xsi:type="dcterms:W3CDTF">2017-12-01T10:54:35Z</dcterms:created>
  <dcterms:modified xsi:type="dcterms:W3CDTF">2026-04-20T13:35:12Z</dcterms:modified>
</cp:coreProperties>
</file>